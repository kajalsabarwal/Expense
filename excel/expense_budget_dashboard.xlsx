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cefd2da45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7f93b11b0c34b59"/>
    <x:sheet xmlns:r="http://schemas.openxmlformats.org/officeDocument/2006/relationships" name="Expenses" sheetId="2" r:id="R2c0b44c4a0d442ea"/>
    <x:sheet xmlns:r="http://schemas.openxmlformats.org/officeDocument/2006/relationships" name="Budgets" sheetId="3" r:id="R20c8ae5a47f8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&quot;–&quot;"/>
    <x:numFmt numFmtId="202" formatCode="0.0%"/>
    <x:numFmt numFmtId="203" formatCode="0%"/>
  </x:numFmts>
  <x:fonts count="9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FF"/>
      <x:name val="Carlito"/>
    </x:font>
    <x:font>
      <x:sz val="17"/>
      <x:name val="Arial"/>
    </x:font>
    <x:font>
      <x:b/>
      <x:sz val="17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0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2" fontId="1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4" fillId="3" borderId="0" xfId="0" applyNumberFormat="1" applyFont="1" applyFill="1" applyBorder="1"/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30110a81468f" /><Relationship Type="http://schemas.openxmlformats.org/officeDocument/2006/relationships/theme" Target="/xl/theme/theme1.xml" Id="R322d6080553649d3" /><Relationship Type="http://schemas.openxmlformats.org/officeDocument/2006/relationships/sharedStrings" Target="/xl/sharedStrings.xml" Id="Ra4dab589011e4577" /><Relationship Type="http://schemas.openxmlformats.org/officeDocument/2006/relationships/worksheet" Target="/xl/worksheets/sheet1.xml" Id="Rf7f93b11b0c34b59" /><Relationship Type="http://schemas.openxmlformats.org/officeDocument/2006/relationships/worksheet" Target="/xl/worksheets/sheet2.xml" Id="R2c0b44c4a0d442ea" /><Relationship Type="http://schemas.openxmlformats.org/officeDocument/2006/relationships/worksheet" Target="/xl/worksheets/sheet3.xml" Id="R20c8ae5a47f846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909cec7b2d42c8" /><Relationship Type="http://schemas.openxmlformats.org/officeDocument/2006/relationships/chart" Target="/xl/drawings/charts/chart2.xml" Id="Rdceaa1bf85d842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budget vs actual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Budget INR</c:v>
          </c:tx>
          <c:spPr>
            <a:ln xmlns:a="http://schemas.openxmlformats.org/drawingml/2006/main" w="19050">
              <a:solidFill>
                <a:srgbClr val="203B60"/>
              </a:solidFill>
              <a:prstDash val="solid"/>
            </a:ln>
          </c:spPr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INR</c:v>
          </c:tx>
          <c:spPr>
            <a:ln xmlns:a="http://schemas.openxmlformats.org/drawingml/2006/main" w="19050">
              <a:solidFill>
                <a:srgbClr val="C66C38"/>
              </a:solidFill>
              <a:prstDash val="solid"/>
            </a:ln>
          </c:spPr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Category budget vs actual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Budget INR</c:v>
          </c:tx>
          <c:spPr>
            <a:solidFill xmlns:a="http://schemas.openxmlformats.org/drawingml/2006/main">
              <a:srgbClr val="203B60"/>
            </a:solidFill>
          </c:spPr>
          <c:invertIfNegative val="0"/>
          <c:cat>
            <c:strRef>
              <c:f>'Dashboard'!$A$26:$A$33</c:f>
              <c:strCache>
                <c:ptCount val="0"/>
              </c:strCache>
            </c:strRef>
          </c:cat>
          <c:val>
            <c:numRef>
              <c:f>'Dashboard'!$B$26:$B$33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Actual INR</c:v>
          </c:tx>
          <c:spPr>
            <a:solidFill xmlns:a="http://schemas.openxmlformats.org/drawingml/2006/main">
              <a:srgbClr val="C66C38"/>
            </a:solidFill>
          </c:spPr>
          <c:invertIfNegative val="0"/>
          <c:cat>
            <c:strRef>
              <c:f>'Dashboard'!$A$26:$A$33</c:f>
              <c:strCache>
                <c:ptCount val="0"/>
              </c:strCache>
            </c:strRef>
          </c:cat>
          <c:val>
            <c:numRef>
              <c:f>'Dashboard'!$C$26:$C$33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09cec7b2d42c8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eaa1bf85d842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nseData" displayName="ExpenseData" ref="A3:E723" headerRowCount="1" totalsRowCount="0" totalsRowShown="0">
  <x:tableColumns count="5">
    <x:tableColumn id="1" name="expense_id"/>
    <x:tableColumn id="2" name="expense_date"/>
    <x:tableColumn id="3" name="category"/>
    <x:tableColumn id="4" name="vendor"/>
    <x:tableColumn id="5" name="amount_in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Data" displayName="BudgetData" ref="A3:C99" headerRowCount="1" totalsRowCount="0" totalsRowShown="0">
  <x:tableColumns count="3">
    <x:tableColumn id="1" name="month"/>
    <x:tableColumn id="2" name="category"/>
    <x:tableColumn id="3" name="budget_in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f44570d5104e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fac6de121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1fab30297c40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2" t="str">
        <x:v>Expense and Budget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2025 business expenses (INR). Synthetic portfolio dataset.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9" customHeight="1">
      <x:c r="A5" s="4" t="str">
        <x:v>Annual budget</x:v>
      </x:c>
      <x:c r="B5" s="4" t="str">
        <x:v>Actual expenses</x:v>
      </x:c>
      <x:c r="C5" s="4" t="str">
        <x:v>Over budget</x:v>
      </x:c>
      <x:c r="D5" s="4" t="str">
        <x:v>Utilization</x:v>
      </x:c>
      <x:c r="E5" s="4" t="str">
        <x:v>Transactions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A6" s="14" t="n">
        <x:f>SUM(Budgets!C4:C99)</x:f>
        <x:v>3672000</x:v>
      </x:c>
      <x:c r="B6" s="14" t="n">
        <x:f>SUM(Expenses!E4:E723)</x:f>
        <x:v>3779409</x:v>
      </x:c>
      <x:c r="C6" s="14" t="n">
        <x:f>B6-A6</x:f>
        <x:v>107409</x:v>
      </x:c>
      <x:c r="D6" s="15" t="n">
        <x:f>IF(A6=0,"n.a.",B6/A6)</x:f>
        <x:v>1.029250816993464</x:v>
      </x:c>
      <x:c r="E6" s="16" t="n">
        <x:f>COUNTA(Expenses!A4:A723)</x:f>
        <x:v>720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9" customHeight="1">
      <x:c r="A9" s="4" t="str">
        <x:v>Month</x:v>
      </x:c>
      <x:c r="B9" s="4" t="str">
        <x:v>Budget INR</x:v>
      </x:c>
      <x:c r="C9" s="4" t="str">
        <x:v>Actual INR</x:v>
      </x:c>
      <x:c r="D9" s="4" t="str">
        <x:v>Over budget INR</x:v>
      </x:c>
      <x:c r="E9" s="4" t="str">
        <x:v>Utilization</x:v>
      </x:c>
      <x:c r="F9" s="4" t="str">
        <x:v>MoM change</x:v>
      </x:c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Jan</x:v>
      </x:c>
      <x:c r="B10" s="7" t="n">
        <x:f>SUMIF(Budgets!$A$4:$A$99,"2025-01",Budgets!$C$4:$C$99)</x:f>
        <x:v>306000</x:v>
      </x:c>
      <x:c r="C10" s="7" t="n">
        <x:f>SUMIFS(Expenses!$E$4:$E$723,Expenses!$B$4:$B$723,"&gt;=45658",Expenses!$B$4:$B$723,"&lt;45689")</x:f>
        <x:v>302594</x:v>
      </x:c>
      <x:c r="D10" s="7" t="n">
        <x:f>C10-B10</x:f>
        <x:v>-3406</x:v>
      </x:c>
      <x:c r="E10" s="13" t="n">
        <x:f>IF(B10=0,"n.a.",C10/B10)</x:f>
        <x:v>0.9888692810457517</x:v>
      </x:c>
      <x:c r="F10" s="13" t="str">
        <x:f>"n.a."</x:f>
        <x:v>n.a.</x:v>
      </x:c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Feb</x:v>
      </x:c>
      <x:c r="B11" s="7" t="n">
        <x:f>SUMIF(Budgets!$A$4:$A$99,"2025-02",Budgets!$C$4:$C$99)</x:f>
        <x:v>306000</x:v>
      </x:c>
      <x:c r="C11" s="7" t="n">
        <x:f>SUMIFS(Expenses!$E$4:$E$723,Expenses!$B$4:$B$723,"&gt;=45689",Expenses!$B$4:$B$723,"&lt;45717")</x:f>
        <x:v>308602</x:v>
      </x:c>
      <x:c r="D11" s="7" t="n">
        <x:f>C11-B11</x:f>
        <x:v>2602</x:v>
      </x:c>
      <x:c r="E11" s="13" t="n">
        <x:f>IF(B11=0,"n.a.",C11/B11)</x:f>
        <x:v>1.0085032679738561</x:v>
      </x:c>
      <x:c r="F11" s="13" t="n">
        <x:f>IF(C10=0,"n.a.",C11/C10-1)</x:f>
        <x:v>0.01985498721058576</x:v>
      </x:c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 t="str">
        <x:v>Mar</x:v>
      </x:c>
      <x:c r="B12" s="7" t="n">
        <x:f>SUMIF(Budgets!$A$4:$A$99,"2025-03",Budgets!$C$4:$C$99)</x:f>
        <x:v>306000</x:v>
      </x:c>
      <x:c r="C12" s="7" t="n">
        <x:f>SUMIFS(Expenses!$E$4:$E$723,Expenses!$B$4:$B$723,"&gt;=45717",Expenses!$B$4:$B$723,"&lt;45748")</x:f>
        <x:v>299702</x:v>
      </x:c>
      <x:c r="D12" s="7" t="n">
        <x:f>C12-B12</x:f>
        <x:v>-6298</x:v>
      </x:c>
      <x:c r="E12" s="13" t="n">
        <x:f>IF(B12=0,"n.a.",C12/B12)</x:f>
        <x:v>0.9794183006535948</x:v>
      </x:c>
      <x:c r="F12" s="13" t="n">
        <x:f>IF(C11=0,"n.a.",C12/C11-1)</x:f>
        <x:v>-0.028839735322518933</x:v>
      </x:c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 t="str">
        <x:v>Apr</x:v>
      </x:c>
      <x:c r="B13" s="7" t="n">
        <x:f>SUMIF(Budgets!$A$4:$A$99,"2025-04",Budgets!$C$4:$C$99)</x:f>
        <x:v>306000</x:v>
      </x:c>
      <x:c r="C13" s="7" t="n">
        <x:f>SUMIFS(Expenses!$E$4:$E$723,Expenses!$B$4:$B$723,"&gt;=45748",Expenses!$B$4:$B$723,"&lt;45778")</x:f>
        <x:v>315932</x:v>
      </x:c>
      <x:c r="D13" s="7" t="n">
        <x:f>C13-B13</x:f>
        <x:v>9932</x:v>
      </x:c>
      <x:c r="E13" s="13" t="n">
        <x:f>IF(B13=0,"n.a.",C13/B13)</x:f>
        <x:v>1.0324575163398693</x:v>
      </x:c>
      <x:c r="F13" s="13" t="n">
        <x:f>IF(C12=0,"n.a.",C13/C12-1)</x:f>
        <x:v>0.054153792767482445</x:v>
      </x:c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 t="str">
        <x:v>May</x:v>
      </x:c>
      <x:c r="B14" s="7" t="n">
        <x:f>SUMIF(Budgets!$A$4:$A$99,"2025-05",Budgets!$C$4:$C$99)</x:f>
        <x:v>306000</x:v>
      </x:c>
      <x:c r="C14" s="7" t="n">
        <x:f>SUMIFS(Expenses!$E$4:$E$723,Expenses!$B$4:$B$723,"&gt;=45778",Expenses!$B$4:$B$723,"&lt;45809")</x:f>
        <x:v>314538</x:v>
      </x:c>
      <x:c r="D14" s="7" t="n">
        <x:f>C14-B14</x:f>
        <x:v>8538</x:v>
      </x:c>
      <x:c r="E14" s="13" t="n">
        <x:f>IF(B14=0,"n.a.",C14/B14)</x:f>
        <x:v>1.0279019607843136</x:v>
      </x:c>
      <x:c r="F14" s="13" t="n">
        <x:f>IF(C13=0,"n.a.",C14/C13-1)</x:f>
        <x:v>-0.004412341896357419</x:v>
      </x:c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 t="str">
        <x:v>Jun</x:v>
      </x:c>
      <x:c r="B15" s="7" t="n">
        <x:f>SUMIF(Budgets!$A$4:$A$99,"2025-06",Budgets!$C$4:$C$99)</x:f>
        <x:v>306000</x:v>
      </x:c>
      <x:c r="C15" s="7" t="n">
        <x:f>SUMIFS(Expenses!$E$4:$E$723,Expenses!$B$4:$B$723,"&gt;=45809",Expenses!$B$4:$B$723,"&lt;45839")</x:f>
        <x:v>319803</x:v>
      </x:c>
      <x:c r="D15" s="7" t="n">
        <x:f>C15-B15</x:f>
        <x:v>13803</x:v>
      </x:c>
      <x:c r="E15" s="13" t="n">
        <x:f>IF(B15=0,"n.a.",C15/B15)</x:f>
        <x:v>1.045107843137255</x:v>
      </x:c>
      <x:c r="F15" s="13" t="n">
        <x:f>IF(C14=0,"n.a.",C15/C14-1)</x:f>
        <x:v>0.016738836007096136</x:v>
      </x:c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v>Jul</x:v>
      </x:c>
      <x:c r="B16" s="7" t="n">
        <x:f>SUMIF(Budgets!$A$4:$A$99,"2025-07",Budgets!$C$4:$C$99)</x:f>
        <x:v>306000</x:v>
      </x:c>
      <x:c r="C16" s="7" t="n">
        <x:f>SUMIFS(Expenses!$E$4:$E$723,Expenses!$B$4:$B$723,"&gt;=45839",Expenses!$B$4:$B$723,"&lt;45870")</x:f>
        <x:v>307725</x:v>
      </x:c>
      <x:c r="D16" s="7" t="n">
        <x:f>C16-B16</x:f>
        <x:v>1725</x:v>
      </x:c>
      <x:c r="E16" s="13" t="n">
        <x:f>IF(B16=0,"n.a.",C16/B16)</x:f>
        <x:v>1.0056372549019608</x:v>
      </x:c>
      <x:c r="F16" s="13" t="n">
        <x:f>IF(C15=0,"n.a.",C16/C15-1)</x:f>
        <x:v>-0.03776700030956559</x:v>
      </x:c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 t="str">
        <x:v>Aug</x:v>
      </x:c>
      <x:c r="B17" s="7" t="n">
        <x:f>SUMIF(Budgets!$A$4:$A$99,"2025-08",Budgets!$C$4:$C$99)</x:f>
        <x:v>306000</x:v>
      </x:c>
      <x:c r="C17" s="7" t="n">
        <x:f>SUMIFS(Expenses!$E$4:$E$723,Expenses!$B$4:$B$723,"&gt;=45870",Expenses!$B$4:$B$723,"&lt;45901")</x:f>
        <x:v>311516</x:v>
      </x:c>
      <x:c r="D17" s="7" t="n">
        <x:f>C17-B17</x:f>
        <x:v>5516</x:v>
      </x:c>
      <x:c r="E17" s="13" t="n">
        <x:f>IF(B17=0,"n.a.",C17/B17)</x:f>
        <x:v>1.0180261437908498</x:v>
      </x:c>
      <x:c r="F17" s="13" t="n">
        <x:f>IF(C16=0,"n.a.",C17/C16-1)</x:f>
        <x:v>0.012319441059387426</x:v>
      </x:c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v>Sep</x:v>
      </x:c>
      <x:c r="B18" s="7" t="n">
        <x:f>SUMIF(Budgets!$A$4:$A$99,"2025-09",Budgets!$C$4:$C$99)</x:f>
        <x:v>306000</x:v>
      </x:c>
      <x:c r="C18" s="7" t="n">
        <x:f>SUMIFS(Expenses!$E$4:$E$723,Expenses!$B$4:$B$723,"&gt;=45901",Expenses!$B$4:$B$723,"&lt;45931")</x:f>
        <x:v>312113</x:v>
      </x:c>
      <x:c r="D18" s="7" t="n">
        <x:f>C18-B18</x:f>
        <x:v>6113</x:v>
      </x:c>
      <x:c r="E18" s="13" t="n">
        <x:f>IF(B18=0,"n.a.",C18/B18)</x:f>
        <x:v>1.0199771241830065</x:v>
      </x:c>
      <x:c r="F18" s="13" t="n">
        <x:f>IF(C17=0,"n.a.",C18/C17-1)</x:f>
        <x:v>0.0019164344688555879</x:v>
      </x:c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 t="str">
        <x:v>Oct</x:v>
      </x:c>
      <x:c r="B19" s="7" t="n">
        <x:f>SUMIF(Budgets!$A$4:$A$99,"2025-10",Budgets!$C$4:$C$99)</x:f>
        <x:v>306000</x:v>
      </x:c>
      <x:c r="C19" s="7" t="n">
        <x:f>SUMIFS(Expenses!$E$4:$E$723,Expenses!$B$4:$B$723,"&gt;=45931",Expenses!$B$4:$B$723,"&lt;45962")</x:f>
        <x:v>322707</x:v>
      </x:c>
      <x:c r="D19" s="7" t="n">
        <x:f>C19-B19</x:f>
        <x:v>16707</x:v>
      </x:c>
      <x:c r="E19" s="13" t="n">
        <x:f>IF(B19=0,"n.a.",C19/B19)</x:f>
        <x:v>1.0545980392156862</x:v>
      </x:c>
      <x:c r="F19" s="13" t="n">
        <x:f>IF(C18=0,"n.a.",C19/C18-1)</x:f>
        <x:v>0.03394283480662463</x:v>
      </x:c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v>Nov</x:v>
      </x:c>
      <x:c r="B20" s="7" t="n">
        <x:f>SUMIF(Budgets!$A$4:$A$99,"2025-11",Budgets!$C$4:$C$99)</x:f>
        <x:v>306000</x:v>
      </x:c>
      <x:c r="C20" s="7" t="n">
        <x:f>SUMIFS(Expenses!$E$4:$E$723,Expenses!$B$4:$B$723,"&gt;=45962",Expenses!$B$4:$B$723,"&lt;45992")</x:f>
        <x:v>333669</x:v>
      </x:c>
      <x:c r="D20" s="7" t="n">
        <x:f>C20-B20</x:f>
        <x:v>27669</x:v>
      </x:c>
      <x:c r="E20" s="13" t="n">
        <x:f>IF(B20=0,"n.a.",C20/B20)</x:f>
        <x:v>1.090421568627451</x:v>
      </x:c>
      <x:c r="F20" s="13" t="n">
        <x:f>IF(C19=0,"n.a.",C20/C19-1)</x:f>
        <x:v>0.03396889438406969</x:v>
      </x:c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 t="str">
        <x:v>Dec</x:v>
      </x:c>
      <x:c r="B21" s="7" t="n">
        <x:f>SUMIF(Budgets!$A$4:$A$99,"2025-12",Budgets!$C$4:$C$99)</x:f>
        <x:v>306000</x:v>
      </x:c>
      <x:c r="C21" s="7" t="n">
        <x:f>SUMIFS(Expenses!$E$4:$E$723,Expenses!$B$4:$B$723,"&gt;=45992",Expenses!$B$4:$B$723,"&lt;46023")</x:f>
        <x:v>330508</x:v>
      </x:c>
      <x:c r="D21" s="7" t="n">
        <x:f>C21-B21</x:f>
        <x:v>24508</x:v>
      </x:c>
      <x:c r="E21" s="13" t="n">
        <x:f>IF(B21=0,"n.a.",C21/B21)</x:f>
        <x:v>1.0800915032679739</x:v>
      </x:c>
      <x:c r="F21" s="13" t="n">
        <x:f>IF(C20=0,"n.a.",C21/C20-1)</x:f>
        <x:v>-0.009473460225552843</x:v>
      </x:c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9" customHeight="1">
      <x:c r="A25" s="4" t="str">
        <x:v>Category</x:v>
      </x:c>
      <x:c r="B25" s="4" t="str">
        <x:v>Budget INR</x:v>
      </x:c>
      <x:c r="C25" s="4" t="str">
        <x:v>Actual INR</x:v>
      </x:c>
      <x:c r="D25" s="4" t="str">
        <x:v>Over budget INR</x:v>
      </x:c>
      <x:c r="E25" s="4" t="str">
        <x:v>Utilization</x:v>
      </x:c>
      <x:c r="F25" s="4" t="str">
        <x:v>Spend share</x:v>
      </x:c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 t="str">
        <x:v>Salaries</x:v>
      </x:c>
      <x:c r="B26" s="7" t="n">
        <x:f>SUMIF(Budgets!$B$4:$B$99,A26,Budgets!$C$4:$C$99)</x:f>
        <x:v>2160000</x:v>
      </x:c>
      <x:c r="C26" s="7" t="n">
        <x:f>SUMIF(Expenses!$C$4:$C$723,A26,Expenses!$E$4:$E$723)</x:f>
        <x:v>2160000</x:v>
      </x:c>
      <x:c r="D26" s="7" t="n">
        <x:f>C26-B26</x:f>
        <x:v>0</x:v>
      </x:c>
      <x:c r="E26" s="13" t="n">
        <x:f>IF(B26=0,"n.a.",C26/B26)</x:f>
        <x:v>1</x:v>
      </x:c>
      <x:c r="F26" s="13" t="n">
        <x:f>C26/$B$6</x:f>
        <x:v>0.5715179278029978</x:v>
      </x:c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 t="str">
        <x:v>Rent</x:v>
      </x:c>
      <x:c r="B27" s="7" t="n">
        <x:f>SUMIF(Budgets!$B$4:$B$99,A27,Budgets!$C$4:$C$99)</x:f>
        <x:v>480000</x:v>
      </x:c>
      <x:c r="C27" s="7" t="n">
        <x:f>SUMIF(Expenses!$C$4:$C$723,A27,Expenses!$E$4:$E$723)</x:f>
        <x:v>480000</x:v>
      </x:c>
      <x:c r="D27" s="7" t="n">
        <x:f>C27-B27</x:f>
        <x:v>0</x:v>
      </x:c>
      <x:c r="E27" s="13" t="n">
        <x:f>IF(B27=0,"n.a.",C27/B27)</x:f>
        <x:v>1</x:v>
      </x:c>
      <x:c r="F27" s="13" t="n">
        <x:f>C27/$B$6</x:f>
        <x:v>0.12700398395622173</x:v>
      </x:c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 t="str">
        <x:v>Marketing</x:v>
      </x:c>
      <x:c r="B28" s="7" t="n">
        <x:f>SUMIF(Budgets!$B$4:$B$99,A28,Budgets!$C$4:$C$99)</x:f>
        <x:v>300000</x:v>
      </x:c>
      <x:c r="C28" s="7" t="n">
        <x:f>SUMIF(Expenses!$C$4:$C$723,A28,Expenses!$E$4:$E$723)</x:f>
        <x:v>332469</x:v>
      </x:c>
      <x:c r="D28" s="7" t="n">
        <x:f>C28-B28</x:f>
        <x:v>32469</x:v>
      </x:c>
      <x:c r="E28" s="13" t="n">
        <x:f>IF(B28=0,"n.a.",C28/B28)</x:f>
        <x:v>1.10823</x:v>
      </x:c>
      <x:c r="F28" s="13" t="n">
        <x:f>C28/$B$6</x:f>
        <x:v>0.08796851571237725</x:v>
      </x:c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 t="str">
        <x:v>Travel</x:v>
      </x:c>
      <x:c r="B29" s="7" t="n">
        <x:f>SUMIF(Budgets!$B$4:$B$99,A29,Budgets!$C$4:$C$99)</x:f>
        <x:v>240000</x:v>
      </x:c>
      <x:c r="C29" s="7" t="n">
        <x:f>SUMIF(Expenses!$C$4:$C$723,A29,Expenses!$E$4:$E$723)</x:f>
        <x:v>274303</x:v>
      </x:c>
      <x:c r="D29" s="7" t="n">
        <x:f>C29-B29</x:f>
        <x:v>34303</x:v>
      </x:c>
      <x:c r="E29" s="13" t="n">
        <x:f>IF(B29=0,"n.a.",C29/B29)</x:f>
        <x:v>1.1429291666666668</x:v>
      </x:c>
      <x:c r="F29" s="13" t="n">
        <x:f>C29/$B$6</x:f>
        <x:v>0.0725782787732156</x:v>
      </x:c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Software</x:v>
      </x:c>
      <x:c r="B30" s="7" t="n">
        <x:f>SUMIF(Budgets!$B$4:$B$99,A30,Budgets!$C$4:$C$99)</x:f>
        <x:v>180000</x:v>
      </x:c>
      <x:c r="C30" s="7" t="n">
        <x:f>SUMIF(Expenses!$C$4:$C$723,A30,Expenses!$E$4:$E$723)</x:f>
        <x:v>212400</x:v>
      </x:c>
      <x:c r="D30" s="7" t="n">
        <x:f>C30-B30</x:f>
        <x:v>32400</x:v>
      </x:c>
      <x:c r="E30" s="13" t="n">
        <x:f>IF(B30=0,"n.a.",C30/B30)</x:f>
        <x:v>1.18</x:v>
      </x:c>
      <x:c r="F30" s="13" t="n">
        <x:f>C30/$B$6</x:f>
        <x:v>0.056199262900628114</x:v>
      </x:c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 t="str">
        <x:v>Utilities</x:v>
      </x:c>
      <x:c r="B31" s="7" t="n">
        <x:f>SUMIF(Budgets!$B$4:$B$99,A31,Budgets!$C$4:$C$99)</x:f>
        <x:v>144000</x:v>
      </x:c>
      <x:c r="C31" s="7" t="n">
        <x:f>SUMIF(Expenses!$C$4:$C$723,A31,Expenses!$E$4:$E$723)</x:f>
        <x:v>147243</x:v>
      </x:c>
      <x:c r="D31" s="7" t="n">
        <x:f>C31-B31</x:f>
        <x:v>3243</x:v>
      </x:c>
      <x:c r="E31" s="13" t="n">
        <x:f>IF(B31=0,"n.a.",C31/B31)</x:f>
        <x:v>1.0225208333333333</x:v>
      </x:c>
      <x:c r="F31" s="13" t="n">
        <x:f>C31/$B$6</x:f>
        <x:v>0.03895926585347074</x:v>
      </x:c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 t="str">
        <x:v>Meals</x:v>
      </x:c>
      <x:c r="B32" s="7" t="n">
        <x:f>SUMIF(Budgets!$B$4:$B$99,A32,Budgets!$C$4:$C$99)</x:f>
        <x:v>96000</x:v>
      </x:c>
      <x:c r="C32" s="7" t="n">
        <x:f>SUMIF(Expenses!$C$4:$C$723,A32,Expenses!$E$4:$E$723)</x:f>
        <x:v>97130</x:v>
      </x:c>
      <x:c r="D32" s="7" t="n">
        <x:f>C32-B32</x:f>
        <x:v>1130</x:v>
      </x:c>
      <x:c r="E32" s="13" t="n">
        <x:f>IF(B32=0,"n.a.",C32/B32)</x:f>
        <x:v>1.0117708333333333</x:v>
      </x:c>
      <x:c r="F32" s="13" t="n">
        <x:f>C32/$B$6</x:f>
        <x:v>0.025699785336807952</x:v>
      </x:c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 t="str">
        <x:v>Office supplies</x:v>
      </x:c>
      <x:c r="B33" s="7" t="n">
        <x:f>SUMIF(Budgets!$B$4:$B$99,A33,Budgets!$C$4:$C$99)</x:f>
        <x:v>72000</x:v>
      </x:c>
      <x:c r="C33" s="7" t="n">
        <x:f>SUMIF(Expenses!$C$4:$C$723,A33,Expenses!$E$4:$E$723)</x:f>
        <x:v>75864</x:v>
      </x:c>
      <x:c r="D33" s="7" t="n">
        <x:f>C33-B33</x:f>
        <x:v>3864</x:v>
      </x:c>
      <x:c r="E33" s="13" t="n">
        <x:f>IF(B33=0,"n.a.",C33/B33)</x:f>
        <x:v>1.0536666666666668</x:v>
      </x:c>
      <x:c r="F33" s="13" t="n">
        <x:f>C33/$B$6</x:f>
        <x:v>0.020072979664280843</x:v>
      </x:c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6" t="str">
        <x:v>Cost-saving scenario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 t="str">
        <x:v>Discretionary reduction assumption</x:v>
      </x:c>
      <x:c r="B37" s="1"/>
      <x:c r="C37" s="1"/>
      <x:c r="D37" s="19" t="n">
        <x:v>0.1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9" customHeight="1">
      <x:c r="A39" s="4" t="str">
        <x:v>Category</x:v>
      </x:c>
      <x:c r="B39" s="4" t="str">
        <x:v>Actual INR</x:v>
      </x:c>
      <x:c r="C39" s="4" t="str">
        <x:v>Potential savings INR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 t="str">
        <x:v>Marketing</x:v>
      </x:c>
      <x:c r="B40" s="7" t="n">
        <x:f>SUMIF(Expenses!$C$4:$C$723,A40,Expenses!$E$4:$E$723)</x:f>
        <x:v>332469</x:v>
      </x:c>
      <x:c r="C40" s="7" t="n">
        <x:f>B40*$D$37</x:f>
        <x:v>33246.9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 t="str">
        <x:v>Travel</x:v>
      </x:c>
      <x:c r="B41" s="7" t="n">
        <x:f>SUMIF(Expenses!$C$4:$C$723,A41,Expenses!$E$4:$E$723)</x:f>
        <x:v>274303</x:v>
      </x:c>
      <x:c r="C41" s="7" t="n">
        <x:f>B41*$D$37</x:f>
        <x:v>27430.300000000003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 t="str">
        <x:v>Software</x:v>
      </x:c>
      <x:c r="B42" s="7" t="n">
        <x:f>SUMIF(Expenses!$C$4:$C$723,A42,Expenses!$E$4:$E$723)</x:f>
        <x:v>212400</x:v>
      </x:c>
      <x:c r="C42" s="7" t="n">
        <x:f>B42*$D$37</x:f>
        <x:v>21240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3" customHeight="1">
      <x:c r="A43" s="1" t="str">
        <x:v>Meals</x:v>
      </x:c>
      <x:c r="B43" s="7" t="n">
        <x:f>SUMIF(Expenses!$C$4:$C$723,A43,Expenses!$E$4:$E$723)</x:f>
        <x:v>97130</x:v>
      </x:c>
      <x:c r="C43" s="7" t="n">
        <x:f>B43*$D$37</x:f>
        <x:v>9713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" t="str">
        <x:v>Office supplies</x:v>
      </x:c>
      <x:c r="B44" s="7" t="n">
        <x:f>SUMIF(Expenses!$C$4:$C$723,A44,Expenses!$E$4:$E$723)</x:f>
        <x:v>75864</x:v>
      </x:c>
      <x:c r="C44" s="7" t="n">
        <x:f>B44*$D$37</x:f>
        <x:v>7586.400000000001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1" t="str">
        <x:v>Total potential savings</x:v>
      </x:c>
      <x:c r="B45" s="7" t="n">
        <x:f>SUM(B40:B44)</x:f>
        <x:v>992166</x:v>
      </x:c>
      <x:c r="C45" s="7" t="n">
        <x:f>SUM(C40:C44)</x:f>
        <x:v>99216.6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3" customHeight="1">
      <x:c r="A47" s="1" t="str">
        <x:v>Scenario only. Savings are not realized and may affect business activity.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3" customHeight="1">
      <x:c r="A49" s="1" t="str">
        <x:v>Positive variance means over budget. January has no prior-month comparison.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3" customHeight="1">
      <x:c r="A50" s="1" t="str">
        <x:v>Edit budgets or existing expense rows to recalculate. For new rows, extend formula ranges.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conditionalFormatting sqref="D10:D21">
    <x:cfRule type="cellIs" dxfId="0" priority="1" operator="greaterThan">
      <x:formula>0</x:formula>
    </x:cfRule>
  </x:conditionalFormatting>
  <x:conditionalFormatting sqref="D26:D33">
    <x:cfRule type="cellIs" dxfId="1" priority="2" operator="greaterThan">
      <x:formula>0</x:formula>
    </x:cfRule>
  </x:conditionalFormatting>
  <x:dataValidations count="1">
    <x:dataValidation type="decimal" operator="between" sqref="D37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88f44570d5104ed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2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3" customHeight="1">
      <x:c r="A1" s="1" t="str">
        <x:v>Synthetic demo data. Generated with seed 42. Currency: INR. Calendar year 2025.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9" customHeight="1">
      <x:c r="A3" s="4" t="str">
        <x:v>expense_id</x:v>
      </x:c>
      <x:c r="B3" s="4" t="str">
        <x:v>expense_date</x:v>
      </x:c>
      <x:c r="C3" s="4" t="str">
        <x:v>category</x:v>
      </x:c>
      <x:c r="D3" s="4" t="str">
        <x:v>vendor</x:v>
      </x:c>
      <x:c r="E3" s="4" t="str">
        <x:v>amount_inr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 t="str">
        <x:v>EXP00001</x:v>
      </x:c>
      <x:c r="B4" s="5" t="d">
        <x:v>2025-01-01T00:00:00.000Z</x:v>
      </x:c>
      <x:c r="C4" s="1" t="str">
        <x:v>Rent</x:v>
      </x:c>
      <x:c r="D4" s="1" t="str">
        <x:v>Rent vendor 1</x:v>
      </x:c>
      <x:c r="E4" s="7" t="n">
        <x:v>40000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EXP00005</x:v>
      </x:c>
      <x:c r="B5" s="5" t="d">
        <x:v>2025-01-01T00:00:00.000Z</x:v>
      </x:c>
      <x:c r="C5" s="1" t="str">
        <x:v>Salaries</x:v>
      </x:c>
      <x:c r="D5" s="1" t="str">
        <x:v>Salaries vendor 1</x:v>
      </x:c>
      <x:c r="E5" s="7" t="n">
        <x:v>19666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EXP00004</x:v>
      </x:c>
      <x:c r="B6" s="5" t="d">
        <x:v>2025-01-02T00:00:00.000Z</x:v>
      </x:c>
      <x:c r="C6" s="1" t="str">
        <x:v>Salaries</x:v>
      </x:c>
      <x:c r="D6" s="1" t="str">
        <x:v>Salaries vendor 3</x:v>
      </x:c>
      <x:c r="E6" s="7" t="n">
        <x:v>20875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EXP00025</x:v>
      </x:c>
      <x:c r="B7" s="5" t="d">
        <x:v>2025-01-02T00:00:00.000Z</x:v>
      </x:c>
      <x:c r="C7" s="1" t="str">
        <x:v>Travel</x:v>
      </x:c>
      <x:c r="D7" s="1" t="str">
        <x:v>Travel vendor 3</x:v>
      </x:c>
      <x:c r="E7" s="7" t="n">
        <x:v>1471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EXP00039</x:v>
      </x:c>
      <x:c r="B8" s="5" t="d">
        <x:v>2025-01-02T00:00:00.000Z</x:v>
      </x:c>
      <x:c r="C8" s="1" t="str">
        <x:v>Meals</x:v>
      </x:c>
      <x:c r="D8" s="1" t="str">
        <x:v>Meals vendor 1</x:v>
      </x:c>
      <x:c r="E8" s="7" t="n">
        <x:v>540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EXP00042</x:v>
      </x:c>
      <x:c r="B9" s="5" t="d">
        <x:v>2025-01-02T00:00:00.000Z</x:v>
      </x:c>
      <x:c r="C9" s="1" t="str">
        <x:v>Meals</x:v>
      </x:c>
      <x:c r="D9" s="1" t="str">
        <x:v>Meals vendor 1</x:v>
      </x:c>
      <x:c r="E9" s="7" t="n">
        <x:v>323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EXP00006</x:v>
      </x:c>
      <x:c r="B10" s="5" t="d">
        <x:v>2025-01-03T00:00:00.000Z</x:v>
      </x:c>
      <x:c r="C10" s="1" t="str">
        <x:v>Salaries</x:v>
      </x:c>
      <x:c r="D10" s="1" t="str">
        <x:v>Salaries vendor 2</x:v>
      </x:c>
      <x:c r="E10" s="7" t="n">
        <x:v>40497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EXP00024</x:v>
      </x:c>
      <x:c r="B11" s="5" t="d">
        <x:v>2025-01-03T00:00:00.000Z</x:v>
      </x:c>
      <x:c r="C11" s="1" t="str">
        <x:v>Travel</x:v>
      </x:c>
      <x:c r="D11" s="1" t="str">
        <x:v>Travel vendor 2</x:v>
      </x:c>
      <x:c r="E11" s="7" t="n">
        <x:v>1228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 t="str">
        <x:v>EXP00056</x:v>
      </x:c>
      <x:c r="B12" s="5" t="d">
        <x:v>2025-01-03T00:00:00.000Z</x:v>
      </x:c>
      <x:c r="C12" s="1" t="str">
        <x:v>Marketing</x:v>
      </x:c>
      <x:c r="D12" s="1" t="str">
        <x:v>Marketing vendor 3</x:v>
      </x:c>
      <x:c r="E12" s="7" t="n">
        <x:v>1522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 t="str">
        <x:v>EXP00016</x:v>
      </x:c>
      <x:c r="B13" s="5" t="d">
        <x:v>2025-01-04T00:00:00.000Z</x:v>
      </x:c>
      <x:c r="C13" s="1" t="str">
        <x:v>Software</x:v>
      </x:c>
      <x:c r="D13" s="1" t="str">
        <x:v>Software vendor 2</x:v>
      </x:c>
      <x:c r="E13" s="7" t="n">
        <x:v>2759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 t="str">
        <x:v>EXP00045</x:v>
      </x:c>
      <x:c r="B14" s="5" t="d">
        <x:v>2025-01-05T00:00:00.000Z</x:v>
      </x:c>
      <x:c r="C14" s="1" t="str">
        <x:v>Office supplies</x:v>
      </x:c>
      <x:c r="D14" s="1" t="str">
        <x:v>Office supplies vendor 3</x:v>
      </x:c>
      <x:c r="E14" s="7" t="n">
        <x:v>1158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 t="str">
        <x:v>EXP00047</x:v>
      </x:c>
      <x:c r="B15" s="5" t="d">
        <x:v>2025-01-05T00:00:00.000Z</x:v>
      </x:c>
      <x:c r="C15" s="1" t="str">
        <x:v>Office supplies</x:v>
      </x:c>
      <x:c r="D15" s="1" t="str">
        <x:v>Office supplies vendor 2</x:v>
      </x:c>
      <x:c r="E15" s="7" t="n">
        <x:v>998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v>EXP00051</x:v>
      </x:c>
      <x:c r="B16" s="5" t="d">
        <x:v>2025-01-06T00:00:00.000Z</x:v>
      </x:c>
      <x:c r="C16" s="1" t="str">
        <x:v>Marketing</x:v>
      </x:c>
      <x:c r="D16" s="1" t="str">
        <x:v>Marketing vendor 1</x:v>
      </x:c>
      <x:c r="E16" s="7" t="n">
        <x:v>2973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 t="str">
        <x:v>EXP00007</x:v>
      </x:c>
      <x:c r="B17" s="5" t="d">
        <x:v>2025-01-07T00:00:00.000Z</x:v>
      </x:c>
      <x:c r="C17" s="1" t="str">
        <x:v>Salaries</x:v>
      </x:c>
      <x:c r="D17" s="1" t="str">
        <x:v>Salaries vendor 3</x:v>
      </x:c>
      <x:c r="E17" s="7" t="n">
        <x:v>34122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v>EXP00012</x:v>
      </x:c>
      <x:c r="B18" s="5" t="d">
        <x:v>2025-01-07T00:00:00.000Z</x:v>
      </x:c>
      <x:c r="C18" s="1" t="str">
        <x:v>Software</x:v>
      </x:c>
      <x:c r="D18" s="1" t="str">
        <x:v>Software vendor 1</x:v>
      </x:c>
      <x:c r="E18" s="7" t="n">
        <x:v>4859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 t="str">
        <x:v>EXP00022</x:v>
      </x:c>
      <x:c r="B19" s="5" t="d">
        <x:v>2025-01-07T00:00:00.000Z</x:v>
      </x:c>
      <x:c r="C19" s="1" t="str">
        <x:v>Travel</x:v>
      </x:c>
      <x:c r="D19" s="1" t="str">
        <x:v>Travel vendor 3</x:v>
      </x:c>
      <x:c r="E19" s="7" t="n">
        <x:v>1449</x:v>
      </x:c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v>EXP00009</x:v>
      </x:c>
      <x:c r="B20" s="5" t="d">
        <x:v>2025-01-08T00:00:00.000Z</x:v>
      </x:c>
      <x:c r="C20" s="1" t="str">
        <x:v>Utilities</x:v>
      </x:c>
      <x:c r="D20" s="1" t="str">
        <x:v>Utilities vendor 2</x:v>
      </x:c>
      <x:c r="E20" s="7" t="n">
        <x:v>2389</x:v>
      </x:c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 t="str">
        <x:v>EXP00033</x:v>
      </x:c>
      <x:c r="B21" s="5" t="d">
        <x:v>2025-01-08T00:00:00.000Z</x:v>
      </x:c>
      <x:c r="C21" s="1" t="str">
        <x:v>Meals</x:v>
      </x:c>
      <x:c r="D21" s="1" t="str">
        <x:v>Meals vendor 1</x:v>
      </x:c>
      <x:c r="E21" s="7" t="n">
        <x:v>421</x:v>
      </x:c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 t="str">
        <x:v>EXP00040</x:v>
      </x:c>
      <x:c r="B22" s="5" t="d">
        <x:v>2025-01-08T00:00:00.000Z</x:v>
      </x:c>
      <x:c r="C22" s="1" t="str">
        <x:v>Meals</x:v>
      </x:c>
      <x:c r="D22" s="1" t="str">
        <x:v>Meals vendor 2</x:v>
      </x:c>
      <x:c r="E22" s="7" t="n">
        <x:v>327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 t="str">
        <x:v>EXP00048</x:v>
      </x:c>
      <x:c r="B23" s="5" t="d">
        <x:v>2025-01-08T00:00:00.000Z</x:v>
      </x:c>
      <x:c r="C23" s="1" t="str">
        <x:v>Office supplies</x:v>
      </x:c>
      <x:c r="D23" s="1" t="str">
        <x:v>Office supplies vendor 3</x:v>
      </x:c>
      <x:c r="E23" s="7" t="n">
        <x:v>584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 t="str">
        <x:v>EXP00028</x:v>
      </x:c>
      <x:c r="B24" s="5" t="d">
        <x:v>2025-01-09T00:00:00.000Z</x:v>
      </x:c>
      <x:c r="C24" s="1" t="str">
        <x:v>Meals</x:v>
      </x:c>
      <x:c r="D24" s="1" t="str">
        <x:v>Meals vendor 2</x:v>
      </x:c>
      <x:c r="E24" s="7" t="n">
        <x:v>282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 t="str">
        <x:v>EXP00046</x:v>
      </x:c>
      <x:c r="B25" s="5" t="d">
        <x:v>2025-01-09T00:00:00.000Z</x:v>
      </x:c>
      <x:c r="C25" s="1" t="str">
        <x:v>Office supplies</x:v>
      </x:c>
      <x:c r="D25" s="1" t="str">
        <x:v>Office supplies vendor 1</x:v>
      </x:c>
      <x:c r="E25" s="7" t="n">
        <x:v>874</x:v>
      </x:c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 t="str">
        <x:v>EXP00015</x:v>
      </x:c>
      <x:c r="B26" s="5" t="d">
        <x:v>2025-01-11T00:00:00.000Z</x:v>
      </x:c>
      <x:c r="C26" s="1" t="str">
        <x:v>Software</x:v>
      </x:c>
      <x:c r="D26" s="1" t="str">
        <x:v>Software vendor 1</x:v>
      </x:c>
      <x:c r="E26" s="7" t="n">
        <x:v>3274</x:v>
      </x:c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 t="str">
        <x:v>EXP00035</x:v>
      </x:c>
      <x:c r="B27" s="5" t="d">
        <x:v>2025-01-11T00:00:00.000Z</x:v>
      </x:c>
      <x:c r="C27" s="1" t="str">
        <x:v>Meals</x:v>
      </x:c>
      <x:c r="D27" s="1" t="str">
        <x:v>Meals vendor 3</x:v>
      </x:c>
      <x:c r="E27" s="7" t="n">
        <x:v>345</x:v>
      </x:c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 t="str">
        <x:v>EXP00020</x:v>
      </x:c>
      <x:c r="B28" s="5" t="d">
        <x:v>2025-01-12T00:00:00.000Z</x:v>
      </x:c>
      <x:c r="C28" s="1" t="str">
        <x:v>Travel</x:v>
      </x:c>
      <x:c r="D28" s="1" t="str">
        <x:v>Travel vendor 1</x:v>
      </x:c>
      <x:c r="E28" s="7" t="n">
        <x:v>1827</x:v>
      </x:c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 t="str">
        <x:v>EXP00027</x:v>
      </x:c>
      <x:c r="B29" s="5" t="d">
        <x:v>2025-01-13T00:00:00.000Z</x:v>
      </x:c>
      <x:c r="C29" s="1" t="str">
        <x:v>Meals</x:v>
      </x:c>
      <x:c r="D29" s="1" t="str">
        <x:v>Meals vendor 1</x:v>
      </x:c>
      <x:c r="E29" s="7" t="n">
        <x:v>384</x:v>
      </x:c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EXP00057</x:v>
      </x:c>
      <x:c r="B30" s="5" t="d">
        <x:v>2025-01-13T00:00:00.000Z</x:v>
      </x:c>
      <x:c r="C30" s="1" t="str">
        <x:v>Marketing</x:v>
      </x:c>
      <x:c r="D30" s="1" t="str">
        <x:v>Marketing vendor 1</x:v>
      </x:c>
      <x:c r="E30" s="7" t="n">
        <x:v>2369</x:v>
      </x:c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 t="str">
        <x:v>EXP00058</x:v>
      </x:c>
      <x:c r="B31" s="5" t="d">
        <x:v>2025-01-13T00:00:00.000Z</x:v>
      </x:c>
      <x:c r="C31" s="1" t="str">
        <x:v>Marketing</x:v>
      </x:c>
      <x:c r="D31" s="1" t="str">
        <x:v>Marketing vendor 2</x:v>
      </x:c>
      <x:c r="E31" s="7" t="n">
        <x:v>2994</x:v>
      </x:c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 t="str">
        <x:v>EXP00003</x:v>
      </x:c>
      <x:c r="B32" s="5" t="d">
        <x:v>2025-01-14T00:00:00.000Z</x:v>
      </x:c>
      <x:c r="C32" s="1" t="str">
        <x:v>Salaries</x:v>
      </x:c>
      <x:c r="D32" s="1" t="str">
        <x:v>Salaries vendor 2</x:v>
      </x:c>
      <x:c r="E32" s="7" t="n">
        <x:v>24314</x:v>
      </x:c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 t="str">
        <x:v>EXP00008</x:v>
      </x:c>
      <x:c r="B33" s="5" t="d">
        <x:v>2025-01-14T00:00:00.000Z</x:v>
      </x:c>
      <x:c r="C33" s="1" t="str">
        <x:v>Utilities</x:v>
      </x:c>
      <x:c r="D33" s="1" t="str">
        <x:v>Utilities vendor 1</x:v>
      </x:c>
      <x:c r="E33" s="7" t="n">
        <x:v>2481</x:v>
      </x:c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 t="str">
        <x:v>EXP00054</x:v>
      </x:c>
      <x:c r="B34" s="5" t="d">
        <x:v>2025-01-14T00:00:00.000Z</x:v>
      </x:c>
      <x:c r="C34" s="1" t="str">
        <x:v>Marketing</x:v>
      </x:c>
      <x:c r="D34" s="1" t="str">
        <x:v>Marketing vendor 1</x:v>
      </x:c>
      <x:c r="E34" s="7" t="n">
        <x:v>2055</x:v>
      </x:c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 t="str">
        <x:v>EXP00010</x:v>
      </x:c>
      <x:c r="B35" s="5" t="d">
        <x:v>2025-01-15T00:00:00.000Z</x:v>
      </x:c>
      <x:c r="C35" s="1" t="str">
        <x:v>Utilities</x:v>
      </x:c>
      <x:c r="D35" s="1" t="str">
        <x:v>Utilities vendor 3</x:v>
      </x:c>
      <x:c r="E35" s="7" t="n">
        <x:v>2738</x:v>
      </x:c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 t="str">
        <x:v>EXP00044</x:v>
      </x:c>
      <x:c r="B36" s="5" t="d">
        <x:v>2025-01-15T00:00:00.000Z</x:v>
      </x:c>
      <x:c r="C36" s="1" t="str">
        <x:v>Office supplies</x:v>
      </x:c>
      <x:c r="D36" s="1" t="str">
        <x:v>Office supplies vendor 2</x:v>
      </x:c>
      <x:c r="E36" s="7" t="n">
        <x:v>464</x:v>
      </x:c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 t="str">
        <x:v>EXP00060</x:v>
      </x:c>
      <x:c r="B37" s="5" t="d">
        <x:v>2025-01-15T00:00:00.000Z</x:v>
      </x:c>
      <x:c r="C37" s="1" t="str">
        <x:v>Marketing</x:v>
      </x:c>
      <x:c r="D37" s="1" t="str">
        <x:v>Marketing vendor 1</x:v>
      </x:c>
      <x:c r="E37" s="7" t="n">
        <x:v>1557</x:v>
      </x:c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 t="str">
        <x:v>EXP00032</x:v>
      </x:c>
      <x:c r="B38" s="5" t="d">
        <x:v>2025-01-18T00:00:00.000Z</x:v>
      </x:c>
      <x:c r="C38" s="1" t="str">
        <x:v>Meals</x:v>
      </x:c>
      <x:c r="D38" s="1" t="str">
        <x:v>Meals vendor 3</x:v>
      </x:c>
      <x:c r="E38" s="7" t="n">
        <x:v>553</x:v>
      </x:c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 t="str">
        <x:v>EXP00050</x:v>
      </x:c>
      <x:c r="B39" s="5" t="d">
        <x:v>2025-01-18T00:00:00.000Z</x:v>
      </x:c>
      <x:c r="C39" s="1" t="str">
        <x:v>Office supplies</x:v>
      </x:c>
      <x:c r="D39" s="1" t="str">
        <x:v>Office supplies vendor 2</x:v>
      </x:c>
      <x:c r="E39" s="7" t="n">
        <x:v>1135</x:v>
      </x:c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 t="str">
        <x:v>EXP00002</x:v>
      </x:c>
      <x:c r="B40" s="5" t="d">
        <x:v>2025-01-19T00:00:00.000Z</x:v>
      </x:c>
      <x:c r="C40" s="1" t="str">
        <x:v>Salaries</x:v>
      </x:c>
      <x:c r="D40" s="1" t="str">
        <x:v>Salaries vendor 1</x:v>
      </x:c>
      <x:c r="E40" s="7" t="n">
        <x:v>40526</x:v>
      </x:c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 t="str">
        <x:v>EXP00011</x:v>
      </x:c>
      <x:c r="B41" s="5" t="d">
        <x:v>2025-01-19T00:00:00.000Z</x:v>
      </x:c>
      <x:c r="C41" s="1" t="str">
        <x:v>Utilities</x:v>
      </x:c>
      <x:c r="D41" s="1" t="str">
        <x:v>Utilities vendor 1</x:v>
      </x:c>
      <x:c r="E41" s="7" t="n">
        <x:v>2704</x:v>
      </x:c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 t="str">
        <x:v>EXP00021</x:v>
      </x:c>
      <x:c r="B42" s="5" t="d">
        <x:v>2025-01-19T00:00:00.000Z</x:v>
      </x:c>
      <x:c r="C42" s="1" t="str">
        <x:v>Travel</x:v>
      </x:c>
      <x:c r="D42" s="1" t="str">
        <x:v>Travel vendor 2</x:v>
      </x:c>
      <x:c r="E42" s="7" t="n">
        <x:v>1719</x:v>
      </x:c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3" customHeight="1">
      <x:c r="A43" s="1" t="str">
        <x:v>EXP00017</x:v>
      </x:c>
      <x:c r="B43" s="5" t="d">
        <x:v>2025-01-20T00:00:00.000Z</x:v>
      </x:c>
      <x:c r="C43" s="1" t="str">
        <x:v>Travel</x:v>
      </x:c>
      <x:c r="D43" s="1" t="str">
        <x:v>Travel vendor 1</x:v>
      </x:c>
      <x:c r="E43" s="7" t="n">
        <x:v>834</x:v>
      </x:c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" t="str">
        <x:v>EXP00055</x:v>
      </x:c>
      <x:c r="B44" s="5" t="d">
        <x:v>2025-01-20T00:00:00.000Z</x:v>
      </x:c>
      <x:c r="C44" s="1" t="str">
        <x:v>Marketing</x:v>
      </x:c>
      <x:c r="D44" s="1" t="str">
        <x:v>Marketing vendor 2</x:v>
      </x:c>
      <x:c r="E44" s="7" t="n">
        <x:v>3570</x:v>
      </x:c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1" t="str">
        <x:v>EXP00059</x:v>
      </x:c>
      <x:c r="B45" s="5" t="d">
        <x:v>2025-01-20T00:00:00.000Z</x:v>
      </x:c>
      <x:c r="C45" s="1" t="str">
        <x:v>Marketing</x:v>
      </x:c>
      <x:c r="D45" s="1" t="str">
        <x:v>Marketing vendor 3</x:v>
      </x:c>
      <x:c r="E45" s="7" t="n">
        <x:v>3245</x:v>
      </x:c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3" customHeight="1">
      <x:c r="A46" s="1" t="str">
        <x:v>EXP00030</x:v>
      </x:c>
      <x:c r="B46" s="5" t="d">
        <x:v>2025-01-21T00:00:00.000Z</x:v>
      </x:c>
      <x:c r="C46" s="1" t="str">
        <x:v>Meals</x:v>
      </x:c>
      <x:c r="D46" s="1" t="str">
        <x:v>Meals vendor 1</x:v>
      </x:c>
      <x:c r="E46" s="7" t="n">
        <x:v>293</x:v>
      </x:c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3" customHeight="1">
      <x:c r="A47" s="1" t="str">
        <x:v>EXP00043</x:v>
      </x:c>
      <x:c r="B47" s="5" t="d">
        <x:v>2025-01-21T00:00:00.000Z</x:v>
      </x:c>
      <x:c r="C47" s="1" t="str">
        <x:v>Office supplies</x:v>
      </x:c>
      <x:c r="D47" s="1" t="str">
        <x:v>Office supplies vendor 1</x:v>
      </x:c>
      <x:c r="E47" s="7" t="n">
        <x:v>738</x:v>
      </x:c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3" customHeight="1">
      <x:c r="A48" s="1" t="str">
        <x:v>EXP00026</x:v>
      </x:c>
      <x:c r="B48" s="5" t="d">
        <x:v>2025-01-22T00:00:00.000Z</x:v>
      </x:c>
      <x:c r="C48" s="1" t="str">
        <x:v>Travel</x:v>
      </x:c>
      <x:c r="D48" s="1" t="str">
        <x:v>Travel vendor 1</x:v>
      </x:c>
      <x:c r="E48" s="7" t="n">
        <x:v>1858</x:v>
      </x:c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3" customHeight="1">
      <x:c r="A49" s="1" t="str">
        <x:v>EXP00034</x:v>
      </x:c>
      <x:c r="B49" s="5" t="d">
        <x:v>2025-01-22T00:00:00.000Z</x:v>
      </x:c>
      <x:c r="C49" s="1" t="str">
        <x:v>Meals</x:v>
      </x:c>
      <x:c r="D49" s="1" t="str">
        <x:v>Meals vendor 2</x:v>
      </x:c>
      <x:c r="E49" s="7" t="n">
        <x:v>424</x:v>
      </x:c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3" customHeight="1">
      <x:c r="A50" s="1" t="str">
        <x:v>EXP00053</x:v>
      </x:c>
      <x:c r="B50" s="5" t="d">
        <x:v>2025-01-22T00:00:00.000Z</x:v>
      </x:c>
      <x:c r="C50" s="1" t="str">
        <x:v>Marketing</x:v>
      </x:c>
      <x:c r="D50" s="1" t="str">
        <x:v>Marketing vendor 3</x:v>
      </x:c>
      <x:c r="E50" s="7" t="n">
        <x:v>2584</x:v>
      </x:c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3" customHeight="1">
      <x:c r="A51" s="1" t="str">
        <x:v>EXP00023</x:v>
      </x:c>
      <x:c r="B51" s="5" t="d">
        <x:v>2025-01-23T00:00:00.000Z</x:v>
      </x:c>
      <x:c r="C51" s="1" t="str">
        <x:v>Travel</x:v>
      </x:c>
      <x:c r="D51" s="1" t="str">
        <x:v>Travel vendor 1</x:v>
      </x:c>
      <x:c r="E51" s="7" t="n">
        <x:v>2059</x:v>
      </x:c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3" customHeight="1">
      <x:c r="A52" s="1" t="str">
        <x:v>EXP00031</x:v>
      </x:c>
      <x:c r="B52" s="5" t="d">
        <x:v>2025-01-23T00:00:00.000Z</x:v>
      </x:c>
      <x:c r="C52" s="1" t="str">
        <x:v>Meals</x:v>
      </x:c>
      <x:c r="D52" s="1" t="str">
        <x:v>Meals vendor 2</x:v>
      </x:c>
      <x:c r="E52" s="7" t="n">
        <x:v>379</x:v>
      </x:c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3" customHeight="1">
      <x:c r="A53" s="1" t="str">
        <x:v>EXP00049</x:v>
      </x:c>
      <x:c r="B53" s="5" t="d">
        <x:v>2025-01-24T00:00:00.000Z</x:v>
      </x:c>
      <x:c r="C53" s="1" t="str">
        <x:v>Office supplies</x:v>
      </x:c>
      <x:c r="D53" s="1" t="str">
        <x:v>Office supplies vendor 1</x:v>
      </x:c>
      <x:c r="E53" s="7" t="n">
        <x:v>819</x:v>
      </x:c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3" customHeight="1">
      <x:c r="A54" s="1" t="str">
        <x:v>EXP00014</x:v>
      </x:c>
      <x:c r="B54" s="5" t="d">
        <x:v>2025-01-25T00:00:00.000Z</x:v>
      </x:c>
      <x:c r="C54" s="1" t="str">
        <x:v>Software</x:v>
      </x:c>
      <x:c r="D54" s="1" t="str">
        <x:v>Software vendor 3</x:v>
      </x:c>
      <x:c r="E54" s="7" t="n">
        <x:v>2341</x:v>
      </x:c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3" customHeight="1">
      <x:c r="A55" s="1" t="str">
        <x:v>EXP00037</x:v>
      </x:c>
      <x:c r="B55" s="5" t="d">
        <x:v>2025-01-25T00:00:00.000Z</x:v>
      </x:c>
      <x:c r="C55" s="1" t="str">
        <x:v>Meals</x:v>
      </x:c>
      <x:c r="D55" s="1" t="str">
        <x:v>Meals vendor 2</x:v>
      </x:c>
      <x:c r="E55" s="7" t="n">
        <x:v>699</x:v>
      </x:c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3" customHeight="1">
      <x:c r="A56" s="1" t="str">
        <x:v>EXP00038</x:v>
      </x:c>
      <x:c r="B56" s="5" t="d">
        <x:v>2025-01-25T00:00:00.000Z</x:v>
      </x:c>
      <x:c r="C56" s="1" t="str">
        <x:v>Meals</x:v>
      </x:c>
      <x:c r="D56" s="1" t="str">
        <x:v>Meals vendor 3</x:v>
      </x:c>
      <x:c r="E56" s="7" t="n">
        <x:v>559</x:v>
      </x:c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3" customHeight="1">
      <x:c r="A57" s="1" t="str">
        <x:v>EXP00052</x:v>
      </x:c>
      <x:c r="B57" s="5" t="d">
        <x:v>2025-01-26T00:00:00.000Z</x:v>
      </x:c>
      <x:c r="C57" s="1" t="str">
        <x:v>Marketing</x:v>
      </x:c>
      <x:c r="D57" s="1" t="str">
        <x:v>Marketing vendor 2</x:v>
      </x:c>
      <x:c r="E57" s="7" t="n">
        <x:v>2214</x:v>
      </x:c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3" customHeight="1">
      <x:c r="A58" s="1" t="str">
        <x:v>EXP00036</x:v>
      </x:c>
      <x:c r="B58" s="5" t="d">
        <x:v>2025-01-27T00:00:00.000Z</x:v>
      </x:c>
      <x:c r="C58" s="1" t="str">
        <x:v>Meals</x:v>
      </x:c>
      <x:c r="D58" s="1" t="str">
        <x:v>Meals vendor 1</x:v>
      </x:c>
      <x:c r="E58" s="7" t="n">
        <x:v>373</x:v>
      </x:c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3" customHeight="1">
      <x:c r="A59" s="1" t="str">
        <x:v>EXP00041</x:v>
      </x:c>
      <x:c r="B59" s="5" t="d">
        <x:v>2025-01-27T00:00:00.000Z</x:v>
      </x:c>
      <x:c r="C59" s="1" t="str">
        <x:v>Meals</x:v>
      </x:c>
      <x:c r="D59" s="1" t="str">
        <x:v>Meals vendor 3</x:v>
      </x:c>
      <x:c r="E59" s="7" t="n">
        <x:v>598</x:v>
      </x:c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3" customHeight="1">
      <x:c r="A60" s="1" t="str">
        <x:v>EXP00019</x:v>
      </x:c>
      <x:c r="B60" s="5" t="d">
        <x:v>2025-01-28T00:00:00.000Z</x:v>
      </x:c>
      <x:c r="C60" s="1" t="str">
        <x:v>Travel</x:v>
      </x:c>
      <x:c r="D60" s="1" t="str">
        <x:v>Travel vendor 3</x:v>
      </x:c>
      <x:c r="E60" s="7" t="n">
        <x:v>1543</x:v>
      </x:c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t="str">
        <x:v>EXP00018</x:v>
      </x:c>
      <x:c r="B61" s="6" t="d">
        <x:v>2025-01-29T00:00:00.000Z</x:v>
      </x:c>
      <x:c r="C61" t="str">
        <x:v>Travel</x:v>
      </x:c>
      <x:c r="D61" t="str">
        <x:v>Travel vendor 2</x:v>
      </x:c>
      <x:c r="E61" s="8" t="n">
        <x:v>1884</x:v>
      </x:c>
    </x:row>
    <x:row r="62">
      <x:c r="A62" t="str">
        <x:v>EXP00029</x:v>
      </x:c>
      <x:c r="B62" s="6" t="d">
        <x:v>2025-01-30T00:00:00.000Z</x:v>
      </x:c>
      <x:c r="C62" t="str">
        <x:v>Meals</x:v>
      </x:c>
      <x:c r="D62" t="str">
        <x:v>Meals vendor 3</x:v>
      </x:c>
      <x:c r="E62" s="8" t="n">
        <x:v>357</x:v>
      </x:c>
    </x:row>
    <x:row r="63">
      <x:c r="A63" t="str">
        <x:v>EXP00013</x:v>
      </x:c>
      <x:c r="B63" s="6" t="d">
        <x:v>2025-01-31T00:00:00.000Z</x:v>
      </x:c>
      <x:c r="C63" t="str">
        <x:v>Software</x:v>
      </x:c>
      <x:c r="D63" t="str">
        <x:v>Software vendor 2</x:v>
      </x:c>
      <x:c r="E63" s="8" t="n">
        <x:v>4467</x:v>
      </x:c>
    </x:row>
    <x:row r="64">
      <x:c r="A64" t="str">
        <x:v>EXP00074</x:v>
      </x:c>
      <x:c r="B64" s="6" t="d">
        <x:v>2025-02-01T00:00:00.000Z</x:v>
      </x:c>
      <x:c r="C64" t="str">
        <x:v>Software</x:v>
      </x:c>
      <x:c r="D64" t="str">
        <x:v>Software vendor 3</x:v>
      </x:c>
      <x:c r="E64" s="8" t="n">
        <x:v>2699</x:v>
      </x:c>
    </x:row>
    <x:row r="65">
      <x:c r="A65" t="str">
        <x:v>EXP00087</x:v>
      </x:c>
      <x:c r="B65" s="6" t="d">
        <x:v>2025-02-01T00:00:00.000Z</x:v>
      </x:c>
      <x:c r="C65" t="str">
        <x:v>Meals</x:v>
      </x:c>
      <x:c r="D65" t="str">
        <x:v>Meals vendor 1</x:v>
      </x:c>
      <x:c r="E65" s="8" t="n">
        <x:v>522</x:v>
      </x:c>
    </x:row>
    <x:row r="66">
      <x:c r="A66" t="str">
        <x:v>EXP00091</x:v>
      </x:c>
      <x:c r="B66" s="6" t="d">
        <x:v>2025-02-02T00:00:00.000Z</x:v>
      </x:c>
      <x:c r="C66" t="str">
        <x:v>Meals</x:v>
      </x:c>
      <x:c r="D66" t="str">
        <x:v>Meals vendor 2</x:v>
      </x:c>
      <x:c r="E66" s="8" t="n">
        <x:v>561</x:v>
      </x:c>
    </x:row>
    <x:row r="67">
      <x:c r="A67" t="str">
        <x:v>EXP00094</x:v>
      </x:c>
      <x:c r="B67" s="6" t="d">
        <x:v>2025-02-02T00:00:00.000Z</x:v>
      </x:c>
      <x:c r="C67" t="str">
        <x:v>Meals</x:v>
      </x:c>
      <x:c r="D67" t="str">
        <x:v>Meals vendor 2</x:v>
      </x:c>
      <x:c r="E67" s="8" t="n">
        <x:v>553</x:v>
      </x:c>
    </x:row>
    <x:row r="68">
      <x:c r="A68" t="str">
        <x:v>EXP00110</x:v>
      </x:c>
      <x:c r="B68" s="6" t="d">
        <x:v>2025-02-02T00:00:00.000Z</x:v>
      </x:c>
      <x:c r="C68" t="str">
        <x:v>Office supplies</x:v>
      </x:c>
      <x:c r="D68" t="str">
        <x:v>Office supplies vendor 2</x:v>
      </x:c>
      <x:c r="E68" s="8" t="n">
        <x:v>381</x:v>
      </x:c>
    </x:row>
    <x:row r="69">
      <x:c r="A69" t="str">
        <x:v>EXP00120</x:v>
      </x:c>
      <x:c r="B69" s="6" t="d">
        <x:v>2025-02-02T00:00:00.000Z</x:v>
      </x:c>
      <x:c r="C69" t="str">
        <x:v>Marketing</x:v>
      </x:c>
      <x:c r="D69" t="str">
        <x:v>Marketing vendor 1</x:v>
      </x:c>
      <x:c r="E69" s="8" t="n">
        <x:v>2239</x:v>
      </x:c>
    </x:row>
    <x:row r="70">
      <x:c r="A70" t="str">
        <x:v>EXP00088</x:v>
      </x:c>
      <x:c r="B70" s="6" t="d">
        <x:v>2025-02-03T00:00:00.000Z</x:v>
      </x:c>
      <x:c r="C70" t="str">
        <x:v>Meals</x:v>
      </x:c>
      <x:c r="D70" t="str">
        <x:v>Meals vendor 2</x:v>
      </x:c>
      <x:c r="E70" s="8" t="n">
        <x:v>691</x:v>
      </x:c>
    </x:row>
    <x:row r="71">
      <x:c r="A71" t="str">
        <x:v>EXP00093</x:v>
      </x:c>
      <x:c r="B71" s="6" t="d">
        <x:v>2025-02-03T00:00:00.000Z</x:v>
      </x:c>
      <x:c r="C71" t="str">
        <x:v>Meals</x:v>
      </x:c>
      <x:c r="D71" t="str">
        <x:v>Meals vendor 1</x:v>
      </x:c>
      <x:c r="E71" s="8" t="n">
        <x:v>424</x:v>
      </x:c>
    </x:row>
    <x:row r="72">
      <x:c r="A72" t="str">
        <x:v>EXP00097</x:v>
      </x:c>
      <x:c r="B72" s="6" t="d">
        <x:v>2025-02-03T00:00:00.000Z</x:v>
      </x:c>
      <x:c r="C72" t="str">
        <x:v>Meals</x:v>
      </x:c>
      <x:c r="D72" t="str">
        <x:v>Meals vendor 2</x:v>
      </x:c>
      <x:c r="E72" s="8" t="n">
        <x:v>449</x:v>
      </x:c>
    </x:row>
    <x:row r="73">
      <x:c r="A73" t="str">
        <x:v>EXP00113</x:v>
      </x:c>
      <x:c r="B73" s="6" t="d">
        <x:v>2025-02-03T00:00:00.000Z</x:v>
      </x:c>
      <x:c r="C73" t="str">
        <x:v>Marketing</x:v>
      </x:c>
      <x:c r="D73" t="str">
        <x:v>Marketing vendor 3</x:v>
      </x:c>
      <x:c r="E73" s="8" t="n">
        <x:v>2595</x:v>
      </x:c>
    </x:row>
    <x:row r="74">
      <x:c r="A74" t="str">
        <x:v>EXP00064</x:v>
      </x:c>
      <x:c r="B74" s="6" t="d">
        <x:v>2025-02-04T00:00:00.000Z</x:v>
      </x:c>
      <x:c r="C74" t="str">
        <x:v>Salaries</x:v>
      </x:c>
      <x:c r="D74" t="str">
        <x:v>Salaries vendor 3</x:v>
      </x:c>
      <x:c r="E74" s="8" t="n">
        <x:v>36149</x:v>
      </x:c>
    </x:row>
    <x:row r="75">
      <x:c r="A75" t="str">
        <x:v>EXP00070</x:v>
      </x:c>
      <x:c r="B75" s="6" t="d">
        <x:v>2025-02-04T00:00:00.000Z</x:v>
      </x:c>
      <x:c r="C75" t="str">
        <x:v>Utilities</x:v>
      </x:c>
      <x:c r="D75" t="str">
        <x:v>Utilities vendor 3</x:v>
      </x:c>
      <x:c r="E75" s="8" t="n">
        <x:v>1921</x:v>
      </x:c>
    </x:row>
    <x:row r="76">
      <x:c r="A76" t="str">
        <x:v>EXP00119</x:v>
      </x:c>
      <x:c r="B76" s="6" t="d">
        <x:v>2025-02-04T00:00:00.000Z</x:v>
      </x:c>
      <x:c r="C76" t="str">
        <x:v>Marketing</x:v>
      </x:c>
      <x:c r="D76" t="str">
        <x:v>Marketing vendor 3</x:v>
      </x:c>
      <x:c r="E76" s="8" t="n">
        <x:v>2650</x:v>
      </x:c>
    </x:row>
    <x:row r="77">
      <x:c r="A77" t="str">
        <x:v>EXP00080</x:v>
      </x:c>
      <x:c r="B77" s="6" t="d">
        <x:v>2025-02-05T00:00:00.000Z</x:v>
      </x:c>
      <x:c r="C77" t="str">
        <x:v>Travel</x:v>
      </x:c>
      <x:c r="D77" t="str">
        <x:v>Travel vendor 1</x:v>
      </x:c>
      <x:c r="E77" s="8" t="n">
        <x:v>2575</x:v>
      </x:c>
    </x:row>
    <x:row r="78">
      <x:c r="A78" t="str">
        <x:v>EXP00081</x:v>
      </x:c>
      <x:c r="B78" s="6" t="d">
        <x:v>2025-02-05T00:00:00.000Z</x:v>
      </x:c>
      <x:c r="C78" t="str">
        <x:v>Travel</x:v>
      </x:c>
      <x:c r="D78" t="str">
        <x:v>Travel vendor 2</x:v>
      </x:c>
      <x:c r="E78" s="8" t="n">
        <x:v>1457</x:v>
      </x:c>
    </x:row>
    <x:row r="79">
      <x:c r="A79" t="str">
        <x:v>EXP00067</x:v>
      </x:c>
      <x:c r="B79" s="6" t="d">
        <x:v>2025-02-06T00:00:00.000Z</x:v>
      </x:c>
      <x:c r="C79" t="str">
        <x:v>Salaries</x:v>
      </x:c>
      <x:c r="D79" t="str">
        <x:v>Salaries vendor 3</x:v>
      </x:c>
      <x:c r="E79" s="8" t="n">
        <x:v>22708</x:v>
      </x:c>
    </x:row>
    <x:row r="80">
      <x:c r="A80" t="str">
        <x:v>EXP00068</x:v>
      </x:c>
      <x:c r="B80" s="6" t="d">
        <x:v>2025-02-06T00:00:00.000Z</x:v>
      </x:c>
      <x:c r="C80" t="str">
        <x:v>Utilities</x:v>
      </x:c>
      <x:c r="D80" t="str">
        <x:v>Utilities vendor 1</x:v>
      </x:c>
      <x:c r="E80" s="8" t="n">
        <x:v>3658</x:v>
      </x:c>
    </x:row>
    <x:row r="81">
      <x:c r="A81" t="str">
        <x:v>EXP00085</x:v>
      </x:c>
      <x:c r="B81" s="6" t="d">
        <x:v>2025-02-06T00:00:00.000Z</x:v>
      </x:c>
      <x:c r="C81" t="str">
        <x:v>Travel</x:v>
      </x:c>
      <x:c r="D81" t="str">
        <x:v>Travel vendor 3</x:v>
      </x:c>
      <x:c r="E81" s="8" t="n">
        <x:v>2428</x:v>
      </x:c>
    </x:row>
    <x:row r="82">
      <x:c r="A82" t="str">
        <x:v>EXP00092</x:v>
      </x:c>
      <x:c r="B82" s="6" t="d">
        <x:v>2025-02-08T00:00:00.000Z</x:v>
      </x:c>
      <x:c r="C82" t="str">
        <x:v>Meals</x:v>
      </x:c>
      <x:c r="D82" t="str">
        <x:v>Meals vendor 3</x:v>
      </x:c>
      <x:c r="E82" s="8" t="n">
        <x:v>572</x:v>
      </x:c>
    </x:row>
    <x:row r="83">
      <x:c r="A83" t="str">
        <x:v>EXP00099</x:v>
      </x:c>
      <x:c r="B83" s="6" t="d">
        <x:v>2025-02-08T00:00:00.000Z</x:v>
      </x:c>
      <x:c r="C83" t="str">
        <x:v>Meals</x:v>
      </x:c>
      <x:c r="D83" t="str">
        <x:v>Meals vendor 1</x:v>
      </x:c>
      <x:c r="E83" s="8" t="n">
        <x:v>266</x:v>
      </x:c>
    </x:row>
    <x:row r="84">
      <x:c r="A84" t="str">
        <x:v>EXP00111</x:v>
      </x:c>
      <x:c r="B84" s="6" t="d">
        <x:v>2025-02-08T00:00:00.000Z</x:v>
      </x:c>
      <x:c r="C84" t="str">
        <x:v>Marketing</x:v>
      </x:c>
      <x:c r="D84" t="str">
        <x:v>Marketing vendor 1</x:v>
      </x:c>
      <x:c r="E84" s="8" t="n">
        <x:v>4267</x:v>
      </x:c>
    </x:row>
    <x:row r="85">
      <x:c r="A85" t="str">
        <x:v>EXP00086</x:v>
      </x:c>
      <x:c r="B85" s="6" t="d">
        <x:v>2025-02-09T00:00:00.000Z</x:v>
      </x:c>
      <x:c r="C85" t="str">
        <x:v>Travel</x:v>
      </x:c>
      <x:c r="D85" t="str">
        <x:v>Travel vendor 1</x:v>
      </x:c>
      <x:c r="E85" s="8" t="n">
        <x:v>2594</x:v>
      </x:c>
    </x:row>
    <x:row r="86">
      <x:c r="A86" t="str">
        <x:v>EXP00100</x:v>
      </x:c>
      <x:c r="B86" s="6" t="d">
        <x:v>2025-02-09T00:00:00.000Z</x:v>
      </x:c>
      <x:c r="C86" t="str">
        <x:v>Meals</x:v>
      </x:c>
      <x:c r="D86" t="str">
        <x:v>Meals vendor 2</x:v>
      </x:c>
      <x:c r="E86" s="8" t="n">
        <x:v>246</x:v>
      </x:c>
    </x:row>
    <x:row r="87">
      <x:c r="A87" t="str">
        <x:v>EXP00065</x:v>
      </x:c>
      <x:c r="B87" s="6" t="d">
        <x:v>2025-02-10T00:00:00.000Z</x:v>
      </x:c>
      <x:c r="C87" t="str">
        <x:v>Salaries</x:v>
      </x:c>
      <x:c r="D87" t="str">
        <x:v>Salaries vendor 1</x:v>
      </x:c>
      <x:c r="E87" s="8" t="n">
        <x:v>34994</x:v>
      </x:c>
    </x:row>
    <x:row r="88">
      <x:c r="A88" t="str">
        <x:v>EXP00063</x:v>
      </x:c>
      <x:c r="B88" s="6" t="d">
        <x:v>2025-02-11T00:00:00.000Z</x:v>
      </x:c>
      <x:c r="C88" t="str">
        <x:v>Salaries</x:v>
      </x:c>
      <x:c r="D88" t="str">
        <x:v>Salaries vendor 2</x:v>
      </x:c>
      <x:c r="E88" s="8" t="n">
        <x:v>15146</x:v>
      </x:c>
    </x:row>
    <x:row r="89">
      <x:c r="A89" t="str">
        <x:v>EXP00076</x:v>
      </x:c>
      <x:c r="B89" s="6" t="d">
        <x:v>2025-02-11T00:00:00.000Z</x:v>
      </x:c>
      <x:c r="C89" t="str">
        <x:v>Software</x:v>
      </x:c>
      <x:c r="D89" t="str">
        <x:v>Software vendor 2</x:v>
      </x:c>
      <x:c r="E89" s="8" t="n">
        <x:v>2554</x:v>
      </x:c>
    </x:row>
    <x:row r="90">
      <x:c r="A90" t="str">
        <x:v>EXP00096</x:v>
      </x:c>
      <x:c r="B90" s="6" t="d">
        <x:v>2025-02-11T00:00:00.000Z</x:v>
      </x:c>
      <x:c r="C90" t="str">
        <x:v>Meals</x:v>
      </x:c>
      <x:c r="D90" t="str">
        <x:v>Meals vendor 1</x:v>
      </x:c>
      <x:c r="E90" s="8" t="n">
        <x:v>660</x:v>
      </x:c>
    </x:row>
    <x:row r="91">
      <x:c r="A91" t="str">
        <x:v>EXP00104</x:v>
      </x:c>
      <x:c r="B91" s="6" t="d">
        <x:v>2025-02-12T00:00:00.000Z</x:v>
      </x:c>
      <x:c r="C91" t="str">
        <x:v>Office supplies</x:v>
      </x:c>
      <x:c r="D91" t="str">
        <x:v>Office supplies vendor 2</x:v>
      </x:c>
      <x:c r="E91" s="8" t="n">
        <x:v>917</x:v>
      </x:c>
    </x:row>
    <x:row r="92">
      <x:c r="A92" t="str">
        <x:v>EXP00066</x:v>
      </x:c>
      <x:c r="B92" s="6" t="d">
        <x:v>2025-02-14T00:00:00.000Z</x:v>
      </x:c>
      <x:c r="C92" t="str">
        <x:v>Salaries</x:v>
      </x:c>
      <x:c r="D92" t="str">
        <x:v>Salaries vendor 2</x:v>
      </x:c>
      <x:c r="E92" s="8" t="n">
        <x:v>30707</x:v>
      </x:c>
    </x:row>
    <x:row r="93">
      <x:c r="A93" t="str">
        <x:v>EXP00103</x:v>
      </x:c>
      <x:c r="B93" s="6" t="d">
        <x:v>2025-02-14T00:00:00.000Z</x:v>
      </x:c>
      <x:c r="C93" t="str">
        <x:v>Office supplies</x:v>
      </x:c>
      <x:c r="D93" t="str">
        <x:v>Office supplies vendor 1</x:v>
      </x:c>
      <x:c r="E93" s="8" t="n">
        <x:v>404</x:v>
      </x:c>
    </x:row>
    <x:row r="94">
      <x:c r="A94" t="str">
        <x:v>EXP00105</x:v>
      </x:c>
      <x:c r="B94" s="6" t="d">
        <x:v>2025-02-14T00:00:00.000Z</x:v>
      </x:c>
      <x:c r="C94" t="str">
        <x:v>Office supplies</x:v>
      </x:c>
      <x:c r="D94" t="str">
        <x:v>Office supplies vendor 3</x:v>
      </x:c>
      <x:c r="E94" s="8" t="n">
        <x:v>684</x:v>
      </x:c>
    </x:row>
    <x:row r="95">
      <x:c r="A95" t="str">
        <x:v>EXP00106</x:v>
      </x:c>
      <x:c r="B95" s="6" t="d">
        <x:v>2025-02-14T00:00:00.000Z</x:v>
      </x:c>
      <x:c r="C95" t="str">
        <x:v>Office supplies</x:v>
      </x:c>
      <x:c r="D95" t="str">
        <x:v>Office supplies vendor 1</x:v>
      </x:c>
      <x:c r="E95" s="8" t="n">
        <x:v>621</x:v>
      </x:c>
    </x:row>
    <x:row r="96">
      <x:c r="A96" t="str">
        <x:v>EXP00107</x:v>
      </x:c>
      <x:c r="B96" s="6" t="d">
        <x:v>2025-02-15T00:00:00.000Z</x:v>
      </x:c>
      <x:c r="C96" t="str">
        <x:v>Office supplies</x:v>
      </x:c>
      <x:c r="D96" t="str">
        <x:v>Office supplies vendor 2</x:v>
      </x:c>
      <x:c r="E96" s="8" t="n">
        <x:v>821</x:v>
      </x:c>
    </x:row>
    <x:row r="97">
      <x:c r="A97" t="str">
        <x:v>EXP00114</x:v>
      </x:c>
      <x:c r="B97" s="6" t="d">
        <x:v>2025-02-15T00:00:00.000Z</x:v>
      </x:c>
      <x:c r="C97" t="str">
        <x:v>Marketing</x:v>
      </x:c>
      <x:c r="D97" t="str">
        <x:v>Marketing vendor 1</x:v>
      </x:c>
      <x:c r="E97" s="8" t="n">
        <x:v>2413</x:v>
      </x:c>
    </x:row>
    <x:row r="98">
      <x:c r="A98" t="str">
        <x:v>EXP00083</x:v>
      </x:c>
      <x:c r="B98" s="6" t="d">
        <x:v>2025-02-16T00:00:00.000Z</x:v>
      </x:c>
      <x:c r="C98" t="str">
        <x:v>Travel</x:v>
      </x:c>
      <x:c r="D98" t="str">
        <x:v>Travel vendor 1</x:v>
      </x:c>
      <x:c r="E98" s="8" t="n">
        <x:v>2104</x:v>
      </x:c>
    </x:row>
    <x:row r="99">
      <x:c r="A99" t="str">
        <x:v>EXP00102</x:v>
      </x:c>
      <x:c r="B99" s="6" t="d">
        <x:v>2025-02-16T00:00:00.000Z</x:v>
      </x:c>
      <x:c r="C99" t="str">
        <x:v>Meals</x:v>
      </x:c>
      <x:c r="D99" t="str">
        <x:v>Meals vendor 1</x:v>
      </x:c>
      <x:c r="E99" s="8" t="n">
        <x:v>512</x:v>
      </x:c>
    </x:row>
    <x:row r="100">
      <x:c r="A100" t="str">
        <x:v>EXP00069</x:v>
      </x:c>
      <x:c r="B100" s="6" t="d">
        <x:v>2025-02-17T00:00:00.000Z</x:v>
      </x:c>
      <x:c r="C100" t="str">
        <x:v>Utilities</x:v>
      </x:c>
      <x:c r="D100" t="str">
        <x:v>Utilities vendor 2</x:v>
      </x:c>
      <x:c r="E100" s="8" t="n">
        <x:v>3462</x:v>
      </x:c>
    </x:row>
    <x:row r="101">
      <x:c r="A101" t="str">
        <x:v>EXP00073</x:v>
      </x:c>
      <x:c r="B101" s="6" t="d">
        <x:v>2025-02-17T00:00:00.000Z</x:v>
      </x:c>
      <x:c r="C101" t="str">
        <x:v>Software</x:v>
      </x:c>
      <x:c r="D101" t="str">
        <x:v>Software vendor 2</x:v>
      </x:c>
      <x:c r="E101" s="8" t="n">
        <x:v>3891</x:v>
      </x:c>
    </x:row>
    <x:row r="102">
      <x:c r="A102" t="str">
        <x:v>EXP00098</x:v>
      </x:c>
      <x:c r="B102" s="6" t="d">
        <x:v>2025-02-17T00:00:00.000Z</x:v>
      </x:c>
      <x:c r="C102" t="str">
        <x:v>Meals</x:v>
      </x:c>
      <x:c r="D102" t="str">
        <x:v>Meals vendor 3</x:v>
      </x:c>
      <x:c r="E102" s="8" t="n">
        <x:v>353</x:v>
      </x:c>
    </x:row>
    <x:row r="103">
      <x:c r="A103" t="str">
        <x:v>EXP00061</x:v>
      </x:c>
      <x:c r="B103" s="6" t="d">
        <x:v>2025-02-18T00:00:00.000Z</x:v>
      </x:c>
      <x:c r="C103" t="str">
        <x:v>Rent</x:v>
      </x:c>
      <x:c r="D103" t="str">
        <x:v>Rent vendor 1</x:v>
      </x:c>
      <x:c r="E103" s="8" t="n">
        <x:v>40000</x:v>
      </x:c>
    </x:row>
    <x:row r="104">
      <x:c r="A104" t="str">
        <x:v>EXP00078</x:v>
      </x:c>
      <x:c r="B104" s="6" t="d">
        <x:v>2025-02-18T00:00:00.000Z</x:v>
      </x:c>
      <x:c r="C104" t="str">
        <x:v>Travel</x:v>
      </x:c>
      <x:c r="D104" t="str">
        <x:v>Travel vendor 2</x:v>
      </x:c>
      <x:c r="E104" s="8" t="n">
        <x:v>1701</x:v>
      </x:c>
    </x:row>
    <x:row r="105">
      <x:c r="A105" t="str">
        <x:v>EXP00084</x:v>
      </x:c>
      <x:c r="B105" s="6" t="d">
        <x:v>2025-02-18T00:00:00.000Z</x:v>
      </x:c>
      <x:c r="C105" t="str">
        <x:v>Travel</x:v>
      </x:c>
      <x:c r="D105" t="str">
        <x:v>Travel vendor 2</x:v>
      </x:c>
      <x:c r="E105" s="8" t="n">
        <x:v>1141</x:v>
      </x:c>
    </x:row>
    <x:row r="106">
      <x:c r="A106" t="str">
        <x:v>EXP00118</x:v>
      </x:c>
      <x:c r="B106" s="6" t="d">
        <x:v>2025-02-18T00:00:00.000Z</x:v>
      </x:c>
      <x:c r="C106" t="str">
        <x:v>Marketing</x:v>
      </x:c>
      <x:c r="D106" t="str">
        <x:v>Marketing vendor 2</x:v>
      </x:c>
      <x:c r="E106" s="8" t="n">
        <x:v>2727</x:v>
      </x:c>
    </x:row>
    <x:row r="107">
      <x:c r="A107" t="str">
        <x:v>EXP00075</x:v>
      </x:c>
      <x:c r="B107" s="6" t="d">
        <x:v>2025-02-20T00:00:00.000Z</x:v>
      </x:c>
      <x:c r="C107" t="str">
        <x:v>Software</x:v>
      </x:c>
      <x:c r="D107" t="str">
        <x:v>Software vendor 1</x:v>
      </x:c>
      <x:c r="E107" s="8" t="n">
        <x:v>3375</x:v>
      </x:c>
    </x:row>
    <x:row r="108">
      <x:c r="A108" t="str">
        <x:v>EXP00062</x:v>
      </x:c>
      <x:c r="B108" s="6" t="d">
        <x:v>2025-02-21T00:00:00.000Z</x:v>
      </x:c>
      <x:c r="C108" t="str">
        <x:v>Salaries</x:v>
      </x:c>
      <x:c r="D108" t="str">
        <x:v>Salaries vendor 1</x:v>
      </x:c>
      <x:c r="E108" s="8" t="n">
        <x:v>40296</x:v>
      </x:c>
    </x:row>
    <x:row r="109">
      <x:c r="A109" t="str">
        <x:v>EXP00090</x:v>
      </x:c>
      <x:c r="B109" s="6" t="d">
        <x:v>2025-02-21T00:00:00.000Z</x:v>
      </x:c>
      <x:c r="C109" t="str">
        <x:v>Meals</x:v>
      </x:c>
      <x:c r="D109" t="str">
        <x:v>Meals vendor 1</x:v>
      </x:c>
      <x:c r="E109" s="8" t="n">
        <x:v>592</x:v>
      </x:c>
    </x:row>
    <x:row r="110">
      <x:c r="A110" t="str">
        <x:v>EXP00082</x:v>
      </x:c>
      <x:c r="B110" s="6" t="d">
        <x:v>2025-02-22T00:00:00.000Z</x:v>
      </x:c>
      <x:c r="C110" t="str">
        <x:v>Travel</x:v>
      </x:c>
      <x:c r="D110" t="str">
        <x:v>Travel vendor 3</x:v>
      </x:c>
      <x:c r="E110" s="8" t="n">
        <x:v>1460</x:v>
      </x:c>
    </x:row>
    <x:row r="111">
      <x:c r="A111" t="str">
        <x:v>EXP00101</x:v>
      </x:c>
      <x:c r="B111" s="6" t="d">
        <x:v>2025-02-22T00:00:00.000Z</x:v>
      </x:c>
      <x:c r="C111" t="str">
        <x:v>Meals</x:v>
      </x:c>
      <x:c r="D111" t="str">
        <x:v>Meals vendor 3</x:v>
      </x:c>
      <x:c r="E111" s="8" t="n">
        <x:v>497</x:v>
      </x:c>
    </x:row>
    <x:row r="112">
      <x:c r="A112" t="str">
        <x:v>EXP00089</x:v>
      </x:c>
      <x:c r="B112" s="6" t="d">
        <x:v>2025-02-23T00:00:00.000Z</x:v>
      </x:c>
      <x:c r="C112" t="str">
        <x:v>Meals</x:v>
      </x:c>
      <x:c r="D112" t="str">
        <x:v>Meals vendor 3</x:v>
      </x:c>
      <x:c r="E112" s="8" t="n">
        <x:v>674</x:v>
      </x:c>
    </x:row>
    <x:row r="113">
      <x:c r="A113" t="str">
        <x:v>EXP00109</x:v>
      </x:c>
      <x:c r="B113" s="6" t="d">
        <x:v>2025-02-24T00:00:00.000Z</x:v>
      </x:c>
      <x:c r="C113" t="str">
        <x:v>Office supplies</x:v>
      </x:c>
      <x:c r="D113" t="str">
        <x:v>Office supplies vendor 1</x:v>
      </x:c>
      <x:c r="E113" s="8" t="n">
        <x:v>441</x:v>
      </x:c>
    </x:row>
    <x:row r="114">
      <x:c r="A114" t="str">
        <x:v>EXP00072</x:v>
      </x:c>
      <x:c r="B114" s="6" t="d">
        <x:v>2025-02-25T00:00:00.000Z</x:v>
      </x:c>
      <x:c r="C114" t="str">
        <x:v>Software</x:v>
      </x:c>
      <x:c r="D114" t="str">
        <x:v>Software vendor 1</x:v>
      </x:c>
      <x:c r="E114" s="8" t="n">
        <x:v>5181</x:v>
      </x:c>
    </x:row>
    <x:row r="115">
      <x:c r="A115" t="str">
        <x:v>EXP00077</x:v>
      </x:c>
      <x:c r="B115" s="6" t="d">
        <x:v>2025-02-25T00:00:00.000Z</x:v>
      </x:c>
      <x:c r="C115" t="str">
        <x:v>Travel</x:v>
      </x:c>
      <x:c r="D115" t="str">
        <x:v>Travel vendor 1</x:v>
      </x:c>
      <x:c r="E115" s="8" t="n">
        <x:v>1206</x:v>
      </x:c>
    </x:row>
    <x:row r="116">
      <x:c r="A116" t="str">
        <x:v>EXP00079</x:v>
      </x:c>
      <x:c r="B116" s="6" t="d">
        <x:v>2025-02-25T00:00:00.000Z</x:v>
      </x:c>
      <x:c r="C116" t="str">
        <x:v>Travel</x:v>
      </x:c>
      <x:c r="D116" t="str">
        <x:v>Travel vendor 3</x:v>
      </x:c>
      <x:c r="E116" s="8" t="n">
        <x:v>2927</x:v>
      </x:c>
    </x:row>
    <x:row r="117">
      <x:c r="A117" t="str">
        <x:v>EXP00115</x:v>
      </x:c>
      <x:c r="B117" s="6" t="d">
        <x:v>2025-02-26T00:00:00.000Z</x:v>
      </x:c>
      <x:c r="C117" t="str">
        <x:v>Marketing</x:v>
      </x:c>
      <x:c r="D117" t="str">
        <x:v>Marketing vendor 2</x:v>
      </x:c>
      <x:c r="E117" s="8" t="n">
        <x:v>3915</x:v>
      </x:c>
    </x:row>
    <x:row r="118">
      <x:c r="A118" t="str">
        <x:v>EXP00071</x:v>
      </x:c>
      <x:c r="B118" s="6" t="d">
        <x:v>2025-02-28T00:00:00.000Z</x:v>
      </x:c>
      <x:c r="C118" t="str">
        <x:v>Utilities</x:v>
      </x:c>
      <x:c r="D118" t="str">
        <x:v>Utilities vendor 1</x:v>
      </x:c>
      <x:c r="E118" s="8" t="n">
        <x:v>2518</x:v>
      </x:c>
    </x:row>
    <x:row r="119">
      <x:c r="A119" t="str">
        <x:v>EXP00095</x:v>
      </x:c>
      <x:c r="B119" s="6" t="d">
        <x:v>2025-02-28T00:00:00.000Z</x:v>
      </x:c>
      <x:c r="C119" t="str">
        <x:v>Meals</x:v>
      </x:c>
      <x:c r="D119" t="str">
        <x:v>Meals vendor 3</x:v>
      </x:c>
      <x:c r="E119" s="8" t="n">
        <x:v>412</x:v>
      </x:c>
    </x:row>
    <x:row r="120">
      <x:c r="A120" t="str">
        <x:v>EXP00108</x:v>
      </x:c>
      <x:c r="B120" s="6" t="d">
        <x:v>2025-02-28T00:00:00.000Z</x:v>
      </x:c>
      <x:c r="C120" t="str">
        <x:v>Office supplies</x:v>
      </x:c>
      <x:c r="D120" t="str">
        <x:v>Office supplies vendor 3</x:v>
      </x:c>
      <x:c r="E120" s="8" t="n">
        <x:v>835</x:v>
      </x:c>
    </x:row>
    <x:row r="121">
      <x:c r="A121" t="str">
        <x:v>EXP00112</x:v>
      </x:c>
      <x:c r="B121" s="6" t="d">
        <x:v>2025-02-28T00:00:00.000Z</x:v>
      </x:c>
      <x:c r="C121" t="str">
        <x:v>Marketing</x:v>
      </x:c>
      <x:c r="D121" t="str">
        <x:v>Marketing vendor 2</x:v>
      </x:c>
      <x:c r="E121" s="8" t="n">
        <x:v>1720</x:v>
      </x:c>
    </x:row>
    <x:row r="122">
      <x:c r="A122" t="str">
        <x:v>EXP00116</x:v>
      </x:c>
      <x:c r="B122" s="6" t="d">
        <x:v>2025-02-28T00:00:00.000Z</x:v>
      </x:c>
      <x:c r="C122" t="str">
        <x:v>Marketing</x:v>
      </x:c>
      <x:c r="D122" t="str">
        <x:v>Marketing vendor 3</x:v>
      </x:c>
      <x:c r="E122" s="8" t="n">
        <x:v>2152</x:v>
      </x:c>
    </x:row>
    <x:row r="123">
      <x:c r="A123" t="str">
        <x:v>EXP00117</x:v>
      </x:c>
      <x:c r="B123" s="6" t="d">
        <x:v>2025-02-28T00:00:00.000Z</x:v>
      </x:c>
      <x:c r="C123" t="str">
        <x:v>Marketing</x:v>
      </x:c>
      <x:c r="D123" t="str">
        <x:v>Marketing vendor 1</x:v>
      </x:c>
      <x:c r="E123" s="8" t="n">
        <x:v>1984</x:v>
      </x:c>
    </x:row>
    <x:row r="124">
      <x:c r="A124" t="str">
        <x:v>EXP00174</x:v>
      </x:c>
      <x:c r="B124" s="6" t="d">
        <x:v>2025-03-01T00:00:00.000Z</x:v>
      </x:c>
      <x:c r="C124" t="str">
        <x:v>Marketing</x:v>
      </x:c>
      <x:c r="D124" t="str">
        <x:v>Marketing vendor 1</x:v>
      </x:c>
      <x:c r="E124" s="8" t="n">
        <x:v>2512</x:v>
      </x:c>
    </x:row>
    <x:row r="125">
      <x:c r="A125" t="str">
        <x:v>EXP00126</x:v>
      </x:c>
      <x:c r="B125" s="6" t="d">
        <x:v>2025-03-02T00:00:00.000Z</x:v>
      </x:c>
      <x:c r="C125" t="str">
        <x:v>Salaries</x:v>
      </x:c>
      <x:c r="D125" t="str">
        <x:v>Salaries vendor 2</x:v>
      </x:c>
      <x:c r="E125" s="8" t="n">
        <x:v>16584</x:v>
      </x:c>
    </x:row>
    <x:row r="126">
      <x:c r="A126" t="str">
        <x:v>EXP00135</x:v>
      </x:c>
      <x:c r="B126" s="6" t="d">
        <x:v>2025-03-02T00:00:00.000Z</x:v>
      </x:c>
      <x:c r="C126" t="str">
        <x:v>Software</x:v>
      </x:c>
      <x:c r="D126" t="str">
        <x:v>Software vendor 1</x:v>
      </x:c>
      <x:c r="E126" s="8" t="n">
        <x:v>2715</x:v>
      </x:c>
    </x:row>
    <x:row r="127">
      <x:c r="A127" t="str">
        <x:v>EXP00145</x:v>
      </x:c>
      <x:c r="B127" s="6" t="d">
        <x:v>2025-03-02T00:00:00.000Z</x:v>
      </x:c>
      <x:c r="C127" t="str">
        <x:v>Travel</x:v>
      </x:c>
      <x:c r="D127" t="str">
        <x:v>Travel vendor 3</x:v>
      </x:c>
      <x:c r="E127" s="8" t="n">
        <x:v>1085</x:v>
      </x:c>
    </x:row>
    <x:row r="128">
      <x:c r="A128" t="str">
        <x:v>EXP00173</x:v>
      </x:c>
      <x:c r="B128" s="6" t="d">
        <x:v>2025-03-02T00:00:00.000Z</x:v>
      </x:c>
      <x:c r="C128" t="str">
        <x:v>Marketing</x:v>
      </x:c>
      <x:c r="D128" t="str">
        <x:v>Marketing vendor 3</x:v>
      </x:c>
      <x:c r="E128" s="8" t="n">
        <x:v>1783</x:v>
      </x:c>
    </x:row>
    <x:row r="129">
      <x:c r="A129" t="str">
        <x:v>EXP00155</x:v>
      </x:c>
      <x:c r="B129" s="6" t="d">
        <x:v>2025-03-03T00:00:00.000Z</x:v>
      </x:c>
      <x:c r="C129" t="str">
        <x:v>Meals</x:v>
      </x:c>
      <x:c r="D129" t="str">
        <x:v>Meals vendor 3</x:v>
      </x:c>
      <x:c r="E129" s="8" t="n">
        <x:v>468</x:v>
      </x:c>
    </x:row>
    <x:row r="130">
      <x:c r="A130" t="str">
        <x:v>EXP00138</x:v>
      </x:c>
      <x:c r="B130" s="6" t="d">
        <x:v>2025-03-04T00:00:00.000Z</x:v>
      </x:c>
      <x:c r="C130" t="str">
        <x:v>Travel</x:v>
      </x:c>
      <x:c r="D130" t="str">
        <x:v>Travel vendor 2</x:v>
      </x:c>
      <x:c r="E130" s="8" t="n">
        <x:v>1867</x:v>
      </x:c>
    </x:row>
    <x:row r="131">
      <x:c r="A131" t="str">
        <x:v>EXP00166</x:v>
      </x:c>
      <x:c r="B131" s="6" t="d">
        <x:v>2025-03-04T00:00:00.000Z</x:v>
      </x:c>
      <x:c r="C131" t="str">
        <x:v>Office supplies</x:v>
      </x:c>
      <x:c r="D131" t="str">
        <x:v>Office supplies vendor 1</x:v>
      </x:c>
      <x:c r="E131" s="8" t="n">
        <x:v>699</x:v>
      </x:c>
    </x:row>
    <x:row r="132">
      <x:c r="A132" t="str">
        <x:v>EXP00168</x:v>
      </x:c>
      <x:c r="B132" s="6" t="d">
        <x:v>2025-03-04T00:00:00.000Z</x:v>
      </x:c>
      <x:c r="C132" t="str">
        <x:v>Office supplies</x:v>
      </x:c>
      <x:c r="D132" t="str">
        <x:v>Office supplies vendor 3</x:v>
      </x:c>
      <x:c r="E132" s="8" t="n">
        <x:v>716</x:v>
      </x:c>
    </x:row>
    <x:row r="133">
      <x:c r="A133" t="str">
        <x:v>EXP00151</x:v>
      </x:c>
      <x:c r="B133" s="6" t="d">
        <x:v>2025-03-05T00:00:00.000Z</x:v>
      </x:c>
      <x:c r="C133" t="str">
        <x:v>Meals</x:v>
      </x:c>
      <x:c r="D133" t="str">
        <x:v>Meals vendor 2</x:v>
      </x:c>
      <x:c r="E133" s="8" t="n">
        <x:v>478</x:v>
      </x:c>
    </x:row>
    <x:row r="134">
      <x:c r="A134" t="str">
        <x:v>EXP00164</x:v>
      </x:c>
      <x:c r="B134" s="6" t="d">
        <x:v>2025-03-05T00:00:00.000Z</x:v>
      </x:c>
      <x:c r="C134" t="str">
        <x:v>Office supplies</x:v>
      </x:c>
      <x:c r="D134" t="str">
        <x:v>Office supplies vendor 2</x:v>
      </x:c>
      <x:c r="E134" s="8" t="n">
        <x:v>1008</x:v>
      </x:c>
    </x:row>
    <x:row r="135">
      <x:c r="A135" t="str">
        <x:v>EXP00177</x:v>
      </x:c>
      <x:c r="B135" s="6" t="d">
        <x:v>2025-03-05T00:00:00.000Z</x:v>
      </x:c>
      <x:c r="C135" t="str">
        <x:v>Marketing</x:v>
      </x:c>
      <x:c r="D135" t="str">
        <x:v>Marketing vendor 1</x:v>
      </x:c>
      <x:c r="E135" s="8" t="n">
        <x:v>1589</x:v>
      </x:c>
    </x:row>
    <x:row r="136">
      <x:c r="A136" t="str">
        <x:v>EXP00127</x:v>
      </x:c>
      <x:c r="B136" s="6" t="d">
        <x:v>2025-03-06T00:00:00.000Z</x:v>
      </x:c>
      <x:c r="C136" t="str">
        <x:v>Salaries</x:v>
      </x:c>
      <x:c r="D136" t="str">
        <x:v>Salaries vendor 3</x:v>
      </x:c>
      <x:c r="E136" s="8" t="n">
        <x:v>24532</x:v>
      </x:c>
    </x:row>
    <x:row r="137">
      <x:c r="A137" t="str">
        <x:v>EXP00160</x:v>
      </x:c>
      <x:c r="B137" s="6" t="d">
        <x:v>2025-03-06T00:00:00.000Z</x:v>
      </x:c>
      <x:c r="C137" t="str">
        <x:v>Meals</x:v>
      </x:c>
      <x:c r="D137" t="str">
        <x:v>Meals vendor 2</x:v>
      </x:c>
      <x:c r="E137" s="8" t="n">
        <x:v>458</x:v>
      </x:c>
    </x:row>
    <x:row r="138">
      <x:c r="A138" t="str">
        <x:v>EXP00180</x:v>
      </x:c>
      <x:c r="B138" s="6" t="d">
        <x:v>2025-03-06T00:00:00.000Z</x:v>
      </x:c>
      <x:c r="C138" t="str">
        <x:v>Marketing</x:v>
      </x:c>
      <x:c r="D138" t="str">
        <x:v>Marketing vendor 1</x:v>
      </x:c>
      <x:c r="E138" s="8" t="n">
        <x:v>2402</x:v>
      </x:c>
    </x:row>
    <x:row r="139">
      <x:c r="A139" t="str">
        <x:v>EXP00122</x:v>
      </x:c>
      <x:c r="B139" s="6" t="d">
        <x:v>2025-03-07T00:00:00.000Z</x:v>
      </x:c>
      <x:c r="C139" t="str">
        <x:v>Salaries</x:v>
      </x:c>
      <x:c r="D139" t="str">
        <x:v>Salaries vendor 1</x:v>
      </x:c>
      <x:c r="E139" s="8" t="n">
        <x:v>33253</x:v>
      </x:c>
    </x:row>
    <x:row r="140">
      <x:c r="A140" t="str">
        <x:v>EXP00148</x:v>
      </x:c>
      <x:c r="B140" s="6" t="d">
        <x:v>2025-03-07T00:00:00.000Z</x:v>
      </x:c>
      <x:c r="C140" t="str">
        <x:v>Meals</x:v>
      </x:c>
      <x:c r="D140" t="str">
        <x:v>Meals vendor 2</x:v>
      </x:c>
      <x:c r="E140" s="8" t="n">
        <x:v>435</x:v>
      </x:c>
    </x:row>
    <x:row r="141">
      <x:c r="A141" t="str">
        <x:v>EXP00142</x:v>
      </x:c>
      <x:c r="B141" s="6" t="d">
        <x:v>2025-03-08T00:00:00.000Z</x:v>
      </x:c>
      <x:c r="C141" t="str">
        <x:v>Travel</x:v>
      </x:c>
      <x:c r="D141" t="str">
        <x:v>Travel vendor 3</x:v>
      </x:c>
      <x:c r="E141" s="8" t="n">
        <x:v>1926</x:v>
      </x:c>
    </x:row>
    <x:row r="142">
      <x:c r="A142" t="str">
        <x:v>EXP00157</x:v>
      </x:c>
      <x:c r="B142" s="6" t="d">
        <x:v>2025-03-08T00:00:00.000Z</x:v>
      </x:c>
      <x:c r="C142" t="str">
        <x:v>Meals</x:v>
      </x:c>
      <x:c r="D142" t="str">
        <x:v>Meals vendor 2</x:v>
      </x:c>
      <x:c r="E142" s="8" t="n">
        <x:v>584</x:v>
      </x:c>
    </x:row>
    <x:row r="143">
      <x:c r="A143" t="str">
        <x:v>EXP00150</x:v>
      </x:c>
      <x:c r="B143" s="6" t="d">
        <x:v>2025-03-09T00:00:00.000Z</x:v>
      </x:c>
      <x:c r="C143" t="str">
        <x:v>Meals</x:v>
      </x:c>
      <x:c r="D143" t="str">
        <x:v>Meals vendor 1</x:v>
      </x:c>
      <x:c r="E143" s="8" t="n">
        <x:v>311</x:v>
      </x:c>
    </x:row>
    <x:row r="144">
      <x:c r="A144" t="str">
        <x:v>EXP00165</x:v>
      </x:c>
      <x:c r="B144" s="6" t="d">
        <x:v>2025-03-09T00:00:00.000Z</x:v>
      </x:c>
      <x:c r="C144" t="str">
        <x:v>Office supplies</x:v>
      </x:c>
      <x:c r="D144" t="str">
        <x:v>Office supplies vendor 3</x:v>
      </x:c>
      <x:c r="E144" s="8" t="n">
        <x:v>888</x:v>
      </x:c>
    </x:row>
    <x:row r="145">
      <x:c r="A145" t="str">
        <x:v>EXP00172</x:v>
      </x:c>
      <x:c r="B145" s="6" t="d">
        <x:v>2025-03-09T00:00:00.000Z</x:v>
      </x:c>
      <x:c r="C145" t="str">
        <x:v>Marketing</x:v>
      </x:c>
      <x:c r="D145" t="str">
        <x:v>Marketing vendor 2</x:v>
      </x:c>
      <x:c r="E145" s="8" t="n">
        <x:v>1504</x:v>
      </x:c>
    </x:row>
    <x:row r="146">
      <x:c r="A146" t="str">
        <x:v>EXP00179</x:v>
      </x:c>
      <x:c r="B146" s="6" t="d">
        <x:v>2025-03-09T00:00:00.000Z</x:v>
      </x:c>
      <x:c r="C146" t="str">
        <x:v>Marketing</x:v>
      </x:c>
      <x:c r="D146" t="str">
        <x:v>Marketing vendor 3</x:v>
      </x:c>
      <x:c r="E146" s="8" t="n">
        <x:v>1165</x:v>
      </x:c>
    </x:row>
    <x:row r="147">
      <x:c r="A147" t="str">
        <x:v>EXP00159</x:v>
      </x:c>
      <x:c r="B147" s="6" t="d">
        <x:v>2025-03-10T00:00:00.000Z</x:v>
      </x:c>
      <x:c r="C147" t="str">
        <x:v>Meals</x:v>
      </x:c>
      <x:c r="D147" t="str">
        <x:v>Meals vendor 1</x:v>
      </x:c>
      <x:c r="E147" s="8" t="n">
        <x:v>208</x:v>
      </x:c>
    </x:row>
    <x:row r="148">
      <x:c r="A148" t="str">
        <x:v>EXP00175</x:v>
      </x:c>
      <x:c r="B148" s="6" t="d">
        <x:v>2025-03-11T00:00:00.000Z</x:v>
      </x:c>
      <x:c r="C148" t="str">
        <x:v>Marketing</x:v>
      </x:c>
      <x:c r="D148" t="str">
        <x:v>Marketing vendor 2</x:v>
      </x:c>
      <x:c r="E148" s="8" t="n">
        <x:v>2862</x:v>
      </x:c>
    </x:row>
    <x:row r="149">
      <x:c r="A149" t="str">
        <x:v>EXP00153</x:v>
      </x:c>
      <x:c r="B149" s="6" t="d">
        <x:v>2025-03-12T00:00:00.000Z</x:v>
      </x:c>
      <x:c r="C149" t="str">
        <x:v>Meals</x:v>
      </x:c>
      <x:c r="D149" t="str">
        <x:v>Meals vendor 1</x:v>
      </x:c>
      <x:c r="E149" s="8" t="n">
        <x:v>313</x:v>
      </x:c>
    </x:row>
    <x:row r="150">
      <x:c r="A150" t="str">
        <x:v>EXP00158</x:v>
      </x:c>
      <x:c r="B150" s="6" t="d">
        <x:v>2025-03-12T00:00:00.000Z</x:v>
      </x:c>
      <x:c r="C150" t="str">
        <x:v>Meals</x:v>
      </x:c>
      <x:c r="D150" t="str">
        <x:v>Meals vendor 3</x:v>
      </x:c>
      <x:c r="E150" s="8" t="n">
        <x:v>587</x:v>
      </x:c>
    </x:row>
    <x:row r="151">
      <x:c r="A151" t="str">
        <x:v>EXP00124</x:v>
      </x:c>
      <x:c r="B151" s="6" t="d">
        <x:v>2025-03-13T00:00:00.000Z</x:v>
      </x:c>
      <x:c r="C151" t="str">
        <x:v>Salaries</x:v>
      </x:c>
      <x:c r="D151" t="str">
        <x:v>Salaries vendor 3</x:v>
      </x:c>
      <x:c r="E151" s="8" t="n">
        <x:v>35501</x:v>
      </x:c>
    </x:row>
    <x:row r="152">
      <x:c r="A152" t="str">
        <x:v>EXP00137</x:v>
      </x:c>
      <x:c r="B152" s="6" t="d">
        <x:v>2025-03-13T00:00:00.000Z</x:v>
      </x:c>
      <x:c r="C152" t="str">
        <x:v>Travel</x:v>
      </x:c>
      <x:c r="D152" t="str">
        <x:v>Travel vendor 1</x:v>
      </x:c>
      <x:c r="E152" s="8" t="n">
        <x:v>1051</x:v>
      </x:c>
    </x:row>
    <x:row r="153">
      <x:c r="A153" t="str">
        <x:v>EXP00128</x:v>
      </x:c>
      <x:c r="B153" s="6" t="d">
        <x:v>2025-03-14T00:00:00.000Z</x:v>
      </x:c>
      <x:c r="C153" t="str">
        <x:v>Utilities</x:v>
      </x:c>
      <x:c r="D153" t="str">
        <x:v>Utilities vendor 1</x:v>
      </x:c>
      <x:c r="E153" s="8" t="n">
        <x:v>3684</x:v>
      </x:c>
    </x:row>
    <x:row r="154">
      <x:c r="A154" t="str">
        <x:v>EXP00161</x:v>
      </x:c>
      <x:c r="B154" s="6" t="d">
        <x:v>2025-03-15T00:00:00.000Z</x:v>
      </x:c>
      <x:c r="C154" t="str">
        <x:v>Meals</x:v>
      </x:c>
      <x:c r="D154" t="str">
        <x:v>Meals vendor 3</x:v>
      </x:c>
      <x:c r="E154" s="8" t="n">
        <x:v>434</x:v>
      </x:c>
    </x:row>
    <x:row r="155">
      <x:c r="A155" t="str">
        <x:v>EXP00149</x:v>
      </x:c>
      <x:c r="B155" s="6" t="d">
        <x:v>2025-03-17T00:00:00.000Z</x:v>
      </x:c>
      <x:c r="C155" t="str">
        <x:v>Meals</x:v>
      </x:c>
      <x:c r="D155" t="str">
        <x:v>Meals vendor 3</x:v>
      </x:c>
      <x:c r="E155" s="8" t="n">
        <x:v>334</x:v>
      </x:c>
    </x:row>
    <x:row r="156">
      <x:c r="A156" t="str">
        <x:v>EXP00121</x:v>
      </x:c>
      <x:c r="B156" s="6" t="d">
        <x:v>2025-03-18T00:00:00.000Z</x:v>
      </x:c>
      <x:c r="C156" t="str">
        <x:v>Rent</x:v>
      </x:c>
      <x:c r="D156" t="str">
        <x:v>Rent vendor 1</x:v>
      </x:c>
      <x:c r="E156" s="8" t="n">
        <x:v>40000</x:v>
      </x:c>
    </x:row>
    <x:row r="157">
      <x:c r="A157" t="str">
        <x:v>EXP00134</x:v>
      </x:c>
      <x:c r="B157" s="6" t="d">
        <x:v>2025-03-18T00:00:00.000Z</x:v>
      </x:c>
      <x:c r="C157" t="str">
        <x:v>Software</x:v>
      </x:c>
      <x:c r="D157" t="str">
        <x:v>Software vendor 3</x:v>
      </x:c>
      <x:c r="E157" s="8" t="n">
        <x:v>2231</x:v>
      </x:c>
    </x:row>
    <x:row r="158">
      <x:c r="A158" t="str">
        <x:v>EXP00147</x:v>
      </x:c>
      <x:c r="B158" s="6" t="d">
        <x:v>2025-03-18T00:00:00.000Z</x:v>
      </x:c>
      <x:c r="C158" t="str">
        <x:v>Meals</x:v>
      </x:c>
      <x:c r="D158" t="str">
        <x:v>Meals vendor 1</x:v>
      </x:c>
      <x:c r="E158" s="8" t="n">
        <x:v>473</x:v>
      </x:c>
    </x:row>
    <x:row r="159">
      <x:c r="A159" t="str">
        <x:v>EXP00170</x:v>
      </x:c>
      <x:c r="B159" s="6" t="d">
        <x:v>2025-03-18T00:00:00.000Z</x:v>
      </x:c>
      <x:c r="C159" t="str">
        <x:v>Office supplies</x:v>
      </x:c>
      <x:c r="D159" t="str">
        <x:v>Office supplies vendor 2</x:v>
      </x:c>
      <x:c r="E159" s="8" t="n">
        <x:v>410</x:v>
      </x:c>
    </x:row>
    <x:row r="160">
      <x:c r="A160" t="str">
        <x:v>EXP00132</x:v>
      </x:c>
      <x:c r="B160" s="6" t="d">
        <x:v>2025-03-19T00:00:00.000Z</x:v>
      </x:c>
      <x:c r="C160" t="str">
        <x:v>Software</x:v>
      </x:c>
      <x:c r="D160" t="str">
        <x:v>Software vendor 1</x:v>
      </x:c>
      <x:c r="E160" s="8" t="n">
        <x:v>3598</x:v>
      </x:c>
    </x:row>
    <x:row r="161">
      <x:c r="A161" t="str">
        <x:v>EXP00141</x:v>
      </x:c>
      <x:c r="B161" s="6" t="d">
        <x:v>2025-03-19T00:00:00.000Z</x:v>
      </x:c>
      <x:c r="C161" t="str">
        <x:v>Travel</x:v>
      </x:c>
      <x:c r="D161" t="str">
        <x:v>Travel vendor 2</x:v>
      </x:c>
      <x:c r="E161" s="8" t="n">
        <x:v>1064</x:v>
      </x:c>
    </x:row>
    <x:row r="162">
      <x:c r="A162" t="str">
        <x:v>EXP00143</x:v>
      </x:c>
      <x:c r="B162" s="6" t="d">
        <x:v>2025-03-19T00:00:00.000Z</x:v>
      </x:c>
      <x:c r="C162" t="str">
        <x:v>Travel</x:v>
      </x:c>
      <x:c r="D162" t="str">
        <x:v>Travel vendor 1</x:v>
      </x:c>
      <x:c r="E162" s="8" t="n">
        <x:v>2582</x:v>
      </x:c>
    </x:row>
    <x:row r="163">
      <x:c r="A163" t="str">
        <x:v>EXP00144</x:v>
      </x:c>
      <x:c r="B163" s="6" t="d">
        <x:v>2025-03-20T00:00:00.000Z</x:v>
      </x:c>
      <x:c r="C163" t="str">
        <x:v>Travel</x:v>
      </x:c>
      <x:c r="D163" t="str">
        <x:v>Travel vendor 2</x:v>
      </x:c>
      <x:c r="E163" s="8" t="n">
        <x:v>1086</x:v>
      </x:c>
    </x:row>
    <x:row r="164">
      <x:c r="A164" t="str">
        <x:v>EXP00146</x:v>
      </x:c>
      <x:c r="B164" s="6" t="d">
        <x:v>2025-03-20T00:00:00.000Z</x:v>
      </x:c>
      <x:c r="C164" t="str">
        <x:v>Travel</x:v>
      </x:c>
      <x:c r="D164" t="str">
        <x:v>Travel vendor 1</x:v>
      </x:c>
      <x:c r="E164" s="8" t="n">
        <x:v>2604</x:v>
      </x:c>
    </x:row>
    <x:row r="165">
      <x:c r="A165" t="str">
        <x:v>EXP00178</x:v>
      </x:c>
      <x:c r="B165" s="6" t="d">
        <x:v>2025-03-21T00:00:00.000Z</x:v>
      </x:c>
      <x:c r="C165" t="str">
        <x:v>Marketing</x:v>
      </x:c>
      <x:c r="D165" t="str">
        <x:v>Marketing vendor 2</x:v>
      </x:c>
      <x:c r="E165" s="8" t="n">
        <x:v>2979</x:v>
      </x:c>
    </x:row>
    <x:row r="166">
      <x:c r="A166" t="str">
        <x:v>EXP00129</x:v>
      </x:c>
      <x:c r="B166" s="6" t="d">
        <x:v>2025-03-23T00:00:00.000Z</x:v>
      </x:c>
      <x:c r="C166" t="str">
        <x:v>Utilities</x:v>
      </x:c>
      <x:c r="D166" t="str">
        <x:v>Utilities vendor 2</x:v>
      </x:c>
      <x:c r="E166" s="8" t="n">
        <x:v>1898</x:v>
      </x:c>
    </x:row>
    <x:row r="167">
      <x:c r="A167" t="str">
        <x:v>EXP00131</x:v>
      </x:c>
      <x:c r="B167" s="6" t="d">
        <x:v>2025-03-24T00:00:00.000Z</x:v>
      </x:c>
      <x:c r="C167" t="str">
        <x:v>Utilities</x:v>
      </x:c>
      <x:c r="D167" t="str">
        <x:v>Utilities vendor 1</x:v>
      </x:c>
      <x:c r="E167" s="8" t="n">
        <x:v>2370</x:v>
      </x:c>
    </x:row>
    <x:row r="168">
      <x:c r="A168" t="str">
        <x:v>EXP00133</x:v>
      </x:c>
      <x:c r="B168" s="6" t="d">
        <x:v>2025-03-24T00:00:00.000Z</x:v>
      </x:c>
      <x:c r="C168" t="str">
        <x:v>Software</x:v>
      </x:c>
      <x:c r="D168" t="str">
        <x:v>Software vendor 2</x:v>
      </x:c>
      <x:c r="E168" s="8" t="n">
        <x:v>4152</x:v>
      </x:c>
    </x:row>
    <x:row r="169">
      <x:c r="A169" t="str">
        <x:v>EXP00136</x:v>
      </x:c>
      <x:c r="B169" s="6" t="d">
        <x:v>2025-03-24T00:00:00.000Z</x:v>
      </x:c>
      <x:c r="C169" t="str">
        <x:v>Software</x:v>
      </x:c>
      <x:c r="D169" t="str">
        <x:v>Software vendor 2</x:v>
      </x:c>
      <x:c r="E169" s="8" t="n">
        <x:v>5004</x:v>
      </x:c>
    </x:row>
    <x:row r="170">
      <x:c r="A170" t="str">
        <x:v>EXP00169</x:v>
      </x:c>
      <x:c r="B170" s="6" t="d">
        <x:v>2025-03-24T00:00:00.000Z</x:v>
      </x:c>
      <x:c r="C170" t="str">
        <x:v>Office supplies</x:v>
      </x:c>
      <x:c r="D170" t="str">
        <x:v>Office supplies vendor 1</x:v>
      </x:c>
      <x:c r="E170" s="8" t="n">
        <x:v>973</x:v>
      </x:c>
    </x:row>
    <x:row r="171">
      <x:c r="A171" t="str">
        <x:v>EXP00176</x:v>
      </x:c>
      <x:c r="B171" s="6" t="d">
        <x:v>2025-03-25T00:00:00.000Z</x:v>
      </x:c>
      <x:c r="C171" t="str">
        <x:v>Marketing</x:v>
      </x:c>
      <x:c r="D171" t="str">
        <x:v>Marketing vendor 3</x:v>
      </x:c>
      <x:c r="E171" s="8" t="n">
        <x:v>2127</x:v>
      </x:c>
    </x:row>
    <x:row r="172">
      <x:c r="A172" t="str">
        <x:v>EXP00162</x:v>
      </x:c>
      <x:c r="B172" s="6" t="d">
        <x:v>2025-03-27T00:00:00.000Z</x:v>
      </x:c>
      <x:c r="C172" t="str">
        <x:v>Meals</x:v>
      </x:c>
      <x:c r="D172" t="str">
        <x:v>Meals vendor 1</x:v>
      </x:c>
      <x:c r="E172" s="8" t="n">
        <x:v>243</x:v>
      </x:c>
    </x:row>
    <x:row r="173">
      <x:c r="A173" t="str">
        <x:v>EXP00171</x:v>
      </x:c>
      <x:c r="B173" s="6" t="d">
        <x:v>2025-03-27T00:00:00.000Z</x:v>
      </x:c>
      <x:c r="C173" t="str">
        <x:v>Marketing</x:v>
      </x:c>
      <x:c r="D173" t="str">
        <x:v>Marketing vendor 1</x:v>
      </x:c>
      <x:c r="E173" s="8" t="n">
        <x:v>1654</x:v>
      </x:c>
    </x:row>
    <x:row r="174">
      <x:c r="A174" t="str">
        <x:v>EXP00123</x:v>
      </x:c>
      <x:c r="B174" s="6" t="d">
        <x:v>2025-03-28T00:00:00.000Z</x:v>
      </x:c>
      <x:c r="C174" t="str">
        <x:v>Salaries</x:v>
      </x:c>
      <x:c r="D174" t="str">
        <x:v>Salaries vendor 2</x:v>
      </x:c>
      <x:c r="E174" s="8" t="n">
        <x:v>36562</x:v>
      </x:c>
    </x:row>
    <x:row r="175">
      <x:c r="A175" t="str">
        <x:v>EXP00125</x:v>
      </x:c>
      <x:c r="B175" s="6" t="d">
        <x:v>2025-03-29T00:00:00.000Z</x:v>
      </x:c>
      <x:c r="C175" t="str">
        <x:v>Salaries</x:v>
      </x:c>
      <x:c r="D175" t="str">
        <x:v>Salaries vendor 1</x:v>
      </x:c>
      <x:c r="E175" s="8" t="n">
        <x:v>33568</x:v>
      </x:c>
    </x:row>
    <x:row r="176">
      <x:c r="A176" t="str">
        <x:v>EXP00140</x:v>
      </x:c>
      <x:c r="B176" s="6" t="d">
        <x:v>2025-03-29T00:00:00.000Z</x:v>
      </x:c>
      <x:c r="C176" t="str">
        <x:v>Travel</x:v>
      </x:c>
      <x:c r="D176" t="str">
        <x:v>Travel vendor 1</x:v>
      </x:c>
      <x:c r="E176" s="8" t="n">
        <x:v>1971</x:v>
      </x:c>
    </x:row>
    <x:row r="177">
      <x:c r="A177" t="str">
        <x:v>EXP00154</x:v>
      </x:c>
      <x:c r="B177" s="6" t="d">
        <x:v>2025-03-29T00:00:00.000Z</x:v>
      </x:c>
      <x:c r="C177" t="str">
        <x:v>Meals</x:v>
      </x:c>
      <x:c r="D177" t="str">
        <x:v>Meals vendor 2</x:v>
      </x:c>
      <x:c r="E177" s="8" t="n">
        <x:v>258</x:v>
      </x:c>
    </x:row>
    <x:row r="178">
      <x:c r="A178" t="str">
        <x:v>EXP00156</x:v>
      </x:c>
      <x:c r="B178" s="6" t="d">
        <x:v>2025-03-29T00:00:00.000Z</x:v>
      </x:c>
      <x:c r="C178" t="str">
        <x:v>Meals</x:v>
      </x:c>
      <x:c r="D178" t="str">
        <x:v>Meals vendor 1</x:v>
      </x:c>
      <x:c r="E178" s="8" t="n">
        <x:v>391</x:v>
      </x:c>
    </x:row>
    <x:row r="179">
      <x:c r="A179" t="str">
        <x:v>EXP00163</x:v>
      </x:c>
      <x:c r="B179" s="6" t="d">
        <x:v>2025-03-29T00:00:00.000Z</x:v>
      </x:c>
      <x:c r="C179" t="str">
        <x:v>Office supplies</x:v>
      </x:c>
      <x:c r="D179" t="str">
        <x:v>Office supplies vendor 1</x:v>
      </x:c>
      <x:c r="E179" s="8" t="n">
        <x:v>545</x:v>
      </x:c>
    </x:row>
    <x:row r="180">
      <x:c r="A180" t="str">
        <x:v>EXP00167</x:v>
      </x:c>
      <x:c r="B180" s="6" t="d">
        <x:v>2025-03-29T00:00:00.000Z</x:v>
      </x:c>
      <x:c r="C180" t="str">
        <x:v>Office supplies</x:v>
      </x:c>
      <x:c r="D180" t="str">
        <x:v>Office supplies vendor 2</x:v>
      </x:c>
      <x:c r="E180" s="8" t="n">
        <x:v>793</x:v>
      </x:c>
    </x:row>
    <x:row r="181">
      <x:c r="A181" t="str">
        <x:v>EXP00152</x:v>
      </x:c>
      <x:c r="B181" s="6" t="d">
        <x:v>2025-03-30T00:00:00.000Z</x:v>
      </x:c>
      <x:c r="C181" t="str">
        <x:v>Meals</x:v>
      </x:c>
      <x:c r="D181" t="str">
        <x:v>Meals vendor 3</x:v>
      </x:c>
      <x:c r="E181" s="8" t="n">
        <x:v>333</x:v>
      </x:c>
    </x:row>
    <x:row r="182">
      <x:c r="A182" t="str">
        <x:v>EXP00130</x:v>
      </x:c>
      <x:c r="B182" s="6" t="d">
        <x:v>2025-03-31T00:00:00.000Z</x:v>
      </x:c>
      <x:c r="C182" t="str">
        <x:v>Utilities</x:v>
      </x:c>
      <x:c r="D182" t="str">
        <x:v>Utilities vendor 3</x:v>
      </x:c>
      <x:c r="E182" s="8" t="n">
        <x:v>3185</x:v>
      </x:c>
    </x:row>
    <x:row r="183">
      <x:c r="A183" t="str">
        <x:v>EXP00139</x:v>
      </x:c>
      <x:c r="B183" s="6" t="d">
        <x:v>2025-03-31T00:00:00.000Z</x:v>
      </x:c>
      <x:c r="C183" t="str">
        <x:v>Travel</x:v>
      </x:c>
      <x:c r="D183" t="str">
        <x:v>Travel vendor 3</x:v>
      </x:c>
      <x:c r="E183" s="8" t="n">
        <x:v>2712</x:v>
      </x:c>
    </x:row>
    <x:row r="184">
      <x:c r="A184" t="str">
        <x:v>EXP00182</x:v>
      </x:c>
      <x:c r="B184" s="6" t="d">
        <x:v>2025-04-02T00:00:00.000Z</x:v>
      </x:c>
      <x:c r="C184" t="str">
        <x:v>Salaries</x:v>
      </x:c>
      <x:c r="D184" t="str">
        <x:v>Salaries vendor 1</x:v>
      </x:c>
      <x:c r="E184" s="8" t="n">
        <x:v>35210</x:v>
      </x:c>
    </x:row>
    <x:row r="185">
      <x:c r="A185" t="str">
        <x:v>EXP00188</x:v>
      </x:c>
      <x:c r="B185" s="6" t="d">
        <x:v>2025-04-02T00:00:00.000Z</x:v>
      </x:c>
      <x:c r="C185" t="str">
        <x:v>Utilities</x:v>
      </x:c>
      <x:c r="D185" t="str">
        <x:v>Utilities vendor 1</x:v>
      </x:c>
      <x:c r="E185" s="8" t="n">
        <x:v>1436</x:v>
      </x:c>
    </x:row>
    <x:row r="186">
      <x:c r="A186" t="str">
        <x:v>EXP00204</x:v>
      </x:c>
      <x:c r="B186" s="6" t="d">
        <x:v>2025-04-02T00:00:00.000Z</x:v>
      </x:c>
      <x:c r="C186" t="str">
        <x:v>Travel</x:v>
      </x:c>
      <x:c r="D186" t="str">
        <x:v>Travel vendor 2</x:v>
      </x:c>
      <x:c r="E186" s="8" t="n">
        <x:v>2475</x:v>
      </x:c>
    </x:row>
    <x:row r="187">
      <x:c r="A187" t="str">
        <x:v>EXP00213</x:v>
      </x:c>
      <x:c r="B187" s="6" t="d">
        <x:v>2025-04-02T00:00:00.000Z</x:v>
      </x:c>
      <x:c r="C187" t="str">
        <x:v>Meals</x:v>
      </x:c>
      <x:c r="D187" t="str">
        <x:v>Meals vendor 1</x:v>
      </x:c>
      <x:c r="E187" s="8" t="n">
        <x:v>283</x:v>
      </x:c>
    </x:row>
    <x:row r="188">
      <x:c r="A188" t="str">
        <x:v>EXP00229</x:v>
      </x:c>
      <x:c r="B188" s="6" t="d">
        <x:v>2025-04-03T00:00:00.000Z</x:v>
      </x:c>
      <x:c r="C188" t="str">
        <x:v>Office supplies</x:v>
      </x:c>
      <x:c r="D188" t="str">
        <x:v>Office supplies vendor 1</x:v>
      </x:c>
      <x:c r="E188" s="8" t="n">
        <x:v>1235</x:v>
      </x:c>
    </x:row>
    <x:row r="189">
      <x:c r="A189" t="str">
        <x:v>EXP00201</x:v>
      </x:c>
      <x:c r="B189" s="6" t="d">
        <x:v>2025-04-04T00:00:00.000Z</x:v>
      </x:c>
      <x:c r="C189" t="str">
        <x:v>Travel</x:v>
      </x:c>
      <x:c r="D189" t="str">
        <x:v>Travel vendor 2</x:v>
      </x:c>
      <x:c r="E189" s="8" t="n">
        <x:v>2350</x:v>
      </x:c>
    </x:row>
    <x:row r="190">
      <x:c r="A190" t="str">
        <x:v>EXP00207</x:v>
      </x:c>
      <x:c r="B190" s="6" t="d">
        <x:v>2025-04-04T00:00:00.000Z</x:v>
      </x:c>
      <x:c r="C190" t="str">
        <x:v>Meals</x:v>
      </x:c>
      <x:c r="D190" t="str">
        <x:v>Meals vendor 1</x:v>
      </x:c>
      <x:c r="E190" s="8" t="n">
        <x:v>537</x:v>
      </x:c>
    </x:row>
    <x:row r="191">
      <x:c r="A191" t="str">
        <x:v>EXP00214</x:v>
      </x:c>
      <x:c r="B191" s="6" t="d">
        <x:v>2025-04-04T00:00:00.000Z</x:v>
      </x:c>
      <x:c r="C191" t="str">
        <x:v>Meals</x:v>
      </x:c>
      <x:c r="D191" t="str">
        <x:v>Meals vendor 2</x:v>
      </x:c>
      <x:c r="E191" s="8" t="n">
        <x:v>338</x:v>
      </x:c>
    </x:row>
    <x:row r="192">
      <x:c r="A192" t="str">
        <x:v>EXP00187</x:v>
      </x:c>
      <x:c r="B192" s="6" t="d">
        <x:v>2025-04-05T00:00:00.000Z</x:v>
      </x:c>
      <x:c r="C192" t="str">
        <x:v>Salaries</x:v>
      </x:c>
      <x:c r="D192" t="str">
        <x:v>Salaries vendor 3</x:v>
      </x:c>
      <x:c r="E192" s="8" t="n">
        <x:v>18955</x:v>
      </x:c>
    </x:row>
    <x:row r="193">
      <x:c r="A193" t="str">
        <x:v>EXP00193</x:v>
      </x:c>
      <x:c r="B193" s="6" t="d">
        <x:v>2025-04-05T00:00:00.000Z</x:v>
      </x:c>
      <x:c r="C193" t="str">
        <x:v>Software</x:v>
      </x:c>
      <x:c r="D193" t="str">
        <x:v>Software vendor 2</x:v>
      </x:c>
      <x:c r="E193" s="8" t="n">
        <x:v>2548</x:v>
      </x:c>
    </x:row>
    <x:row r="194">
      <x:c r="A194" t="str">
        <x:v>EXP00198</x:v>
      </x:c>
      <x:c r="B194" s="6" t="d">
        <x:v>2025-04-06T00:00:00.000Z</x:v>
      </x:c>
      <x:c r="C194" t="str">
        <x:v>Travel</x:v>
      </x:c>
      <x:c r="D194" t="str">
        <x:v>Travel vendor 2</x:v>
      </x:c>
      <x:c r="E194" s="8" t="n">
        <x:v>2491</x:v>
      </x:c>
    </x:row>
    <x:row r="195">
      <x:c r="A195" t="str">
        <x:v>EXP00210</x:v>
      </x:c>
      <x:c r="B195" s="6" t="d">
        <x:v>2025-04-06T00:00:00.000Z</x:v>
      </x:c>
      <x:c r="C195" t="str">
        <x:v>Meals</x:v>
      </x:c>
      <x:c r="D195" t="str">
        <x:v>Meals vendor 1</x:v>
      </x:c>
      <x:c r="E195" s="8" t="n">
        <x:v>528</x:v>
      </x:c>
    </x:row>
    <x:row r="196">
      <x:c r="A196" t="str">
        <x:v>EXP00236</x:v>
      </x:c>
      <x:c r="B196" s="6" t="d">
        <x:v>2025-04-06T00:00:00.000Z</x:v>
      </x:c>
      <x:c r="C196" t="str">
        <x:v>Marketing</x:v>
      </x:c>
      <x:c r="D196" t="str">
        <x:v>Marketing vendor 3</x:v>
      </x:c>
      <x:c r="E196" s="8" t="n">
        <x:v>3365</x:v>
      </x:c>
    </x:row>
    <x:row r="197">
      <x:c r="A197" t="str">
        <x:v>EXP00191</x:v>
      </x:c>
      <x:c r="B197" s="6" t="d">
        <x:v>2025-04-07T00:00:00.000Z</x:v>
      </x:c>
      <x:c r="C197" t="str">
        <x:v>Utilities</x:v>
      </x:c>
      <x:c r="D197" t="str">
        <x:v>Utilities vendor 1</x:v>
      </x:c>
      <x:c r="E197" s="8" t="n">
        <x:v>3900</x:v>
      </x:c>
    </x:row>
    <x:row r="198">
      <x:c r="A198" t="str">
        <x:v>EXP00226</x:v>
      </x:c>
      <x:c r="B198" s="6" t="d">
        <x:v>2025-04-07T00:00:00.000Z</x:v>
      </x:c>
      <x:c r="C198" t="str">
        <x:v>Office supplies</x:v>
      </x:c>
      <x:c r="D198" t="str">
        <x:v>Office supplies vendor 1</x:v>
      </x:c>
      <x:c r="E198" s="8" t="n">
        <x:v>514</x:v>
      </x:c>
    </x:row>
    <x:row r="199">
      <x:c r="A199" t="str">
        <x:v>EXP00196</x:v>
      </x:c>
      <x:c r="B199" s="6" t="d">
        <x:v>2025-04-08T00:00:00.000Z</x:v>
      </x:c>
      <x:c r="C199" t="str">
        <x:v>Software</x:v>
      </x:c>
      <x:c r="D199" t="str">
        <x:v>Software vendor 2</x:v>
      </x:c>
      <x:c r="E199" s="8" t="n">
        <x:v>4400</x:v>
      </x:c>
    </x:row>
    <x:row r="200">
      <x:c r="A200" t="str">
        <x:v>EXP00197</x:v>
      </x:c>
      <x:c r="B200" s="6" t="d">
        <x:v>2025-04-09T00:00:00.000Z</x:v>
      </x:c>
      <x:c r="C200" t="str">
        <x:v>Travel</x:v>
      </x:c>
      <x:c r="D200" t="str">
        <x:v>Travel vendor 1</x:v>
      </x:c>
      <x:c r="E200" s="8" t="n">
        <x:v>2805</x:v>
      </x:c>
    </x:row>
    <x:row r="201">
      <x:c r="A201" t="str">
        <x:v>EXP00209</x:v>
      </x:c>
      <x:c r="B201" s="6" t="d">
        <x:v>2025-04-09T00:00:00.000Z</x:v>
      </x:c>
      <x:c r="C201" t="str">
        <x:v>Meals</x:v>
      </x:c>
      <x:c r="D201" t="str">
        <x:v>Meals vendor 3</x:v>
      </x:c>
      <x:c r="E201" s="8" t="n">
        <x:v>328</x:v>
      </x:c>
    </x:row>
    <x:row r="202">
      <x:c r="A202" t="str">
        <x:v>EXP00212</x:v>
      </x:c>
      <x:c r="B202" s="6" t="d">
        <x:v>2025-04-09T00:00:00.000Z</x:v>
      </x:c>
      <x:c r="C202" t="str">
        <x:v>Meals</x:v>
      </x:c>
      <x:c r="D202" t="str">
        <x:v>Meals vendor 3</x:v>
      </x:c>
      <x:c r="E202" s="8" t="n">
        <x:v>214</x:v>
      </x:c>
    </x:row>
    <x:row r="203">
      <x:c r="A203" t="str">
        <x:v>EXP00239</x:v>
      </x:c>
      <x:c r="B203" s="6" t="d">
        <x:v>2025-04-10T00:00:00.000Z</x:v>
      </x:c>
      <x:c r="C203" t="str">
        <x:v>Marketing</x:v>
      </x:c>
      <x:c r="D203" t="str">
        <x:v>Marketing vendor 3</x:v>
      </x:c>
      <x:c r="E203" s="8" t="n">
        <x:v>3040</x:v>
      </x:c>
    </x:row>
    <x:row r="204">
      <x:c r="A204" t="str">
        <x:v>EXP00220</x:v>
      </x:c>
      <x:c r="B204" s="6" t="d">
        <x:v>2025-04-11T00:00:00.000Z</x:v>
      </x:c>
      <x:c r="C204" t="str">
        <x:v>Meals</x:v>
      </x:c>
      <x:c r="D204" t="str">
        <x:v>Meals vendor 2</x:v>
      </x:c>
      <x:c r="E204" s="8" t="n">
        <x:v>604</x:v>
      </x:c>
    </x:row>
    <x:row r="205">
      <x:c r="A205" t="str">
        <x:v>EXP00184</x:v>
      </x:c>
      <x:c r="B205" s="6" t="d">
        <x:v>2025-04-12T00:00:00.000Z</x:v>
      </x:c>
      <x:c r="C205" t="str">
        <x:v>Salaries</x:v>
      </x:c>
      <x:c r="D205" t="str">
        <x:v>Salaries vendor 3</x:v>
      </x:c>
      <x:c r="E205" s="8" t="n">
        <x:v>17869</x:v>
      </x:c>
    </x:row>
    <x:row r="206">
      <x:c r="A206" t="str">
        <x:v>EXP00190</x:v>
      </x:c>
      <x:c r="B206" s="6" t="d">
        <x:v>2025-04-12T00:00:00.000Z</x:v>
      </x:c>
      <x:c r="C206" t="str">
        <x:v>Utilities</x:v>
      </x:c>
      <x:c r="D206" t="str">
        <x:v>Utilities vendor 3</x:v>
      </x:c>
      <x:c r="E206" s="8" t="n">
        <x:v>3797</x:v>
      </x:c>
    </x:row>
    <x:row r="207">
      <x:c r="A207" t="str">
        <x:v>EXP00217</x:v>
      </x:c>
      <x:c r="B207" s="6" t="d">
        <x:v>2025-04-12T00:00:00.000Z</x:v>
      </x:c>
      <x:c r="C207" t="str">
        <x:v>Meals</x:v>
      </x:c>
      <x:c r="D207" t="str">
        <x:v>Meals vendor 2</x:v>
      </x:c>
      <x:c r="E207" s="8" t="n">
        <x:v>318</x:v>
      </x:c>
    </x:row>
    <x:row r="208">
      <x:c r="A208" t="str">
        <x:v>EXP00227</x:v>
      </x:c>
      <x:c r="B208" s="6" t="d">
        <x:v>2025-04-12T00:00:00.000Z</x:v>
      </x:c>
      <x:c r="C208" t="str">
        <x:v>Office supplies</x:v>
      </x:c>
      <x:c r="D208" t="str">
        <x:v>Office supplies vendor 2</x:v>
      </x:c>
      <x:c r="E208" s="8" t="n">
        <x:v>885</x:v>
      </x:c>
    </x:row>
    <x:row r="209">
      <x:c r="A209" t="str">
        <x:v>EXP00202</x:v>
      </x:c>
      <x:c r="B209" s="6" t="d">
        <x:v>2025-04-13T00:00:00.000Z</x:v>
      </x:c>
      <x:c r="C209" t="str">
        <x:v>Travel</x:v>
      </x:c>
      <x:c r="D209" t="str">
        <x:v>Travel vendor 3</x:v>
      </x:c>
      <x:c r="E209" s="8" t="n">
        <x:v>1581</x:v>
      </x:c>
    </x:row>
    <x:row r="210">
      <x:c r="A210" t="str">
        <x:v>EXP00232</x:v>
      </x:c>
      <x:c r="B210" s="6" t="d">
        <x:v>2025-04-13T00:00:00.000Z</x:v>
      </x:c>
      <x:c r="C210" t="str">
        <x:v>Marketing</x:v>
      </x:c>
      <x:c r="D210" t="str">
        <x:v>Marketing vendor 2</x:v>
      </x:c>
      <x:c r="E210" s="8" t="n">
        <x:v>3355</x:v>
      </x:c>
    </x:row>
    <x:row r="211">
      <x:c r="A211" t="str">
        <x:v>EXP00240</x:v>
      </x:c>
      <x:c r="B211" s="6" t="d">
        <x:v>2025-04-13T00:00:00.000Z</x:v>
      </x:c>
      <x:c r="C211" t="str">
        <x:v>Marketing</x:v>
      </x:c>
      <x:c r="D211" t="str">
        <x:v>Marketing vendor 1</x:v>
      </x:c>
      <x:c r="E211" s="8" t="n">
        <x:v>1994</x:v>
      </x:c>
    </x:row>
    <x:row r="212">
      <x:c r="A212" t="str">
        <x:v>EXP00216</x:v>
      </x:c>
      <x:c r="B212" s="6" t="d">
        <x:v>2025-04-14T00:00:00.000Z</x:v>
      </x:c>
      <x:c r="C212" t="str">
        <x:v>Meals</x:v>
      </x:c>
      <x:c r="D212" t="str">
        <x:v>Meals vendor 1</x:v>
      </x:c>
      <x:c r="E212" s="8" t="n">
        <x:v>598</x:v>
      </x:c>
    </x:row>
    <x:row r="213">
      <x:c r="A213" t="str">
        <x:v>EXP00221</x:v>
      </x:c>
      <x:c r="B213" s="6" t="d">
        <x:v>2025-04-14T00:00:00.000Z</x:v>
      </x:c>
      <x:c r="C213" t="str">
        <x:v>Meals</x:v>
      </x:c>
      <x:c r="D213" t="str">
        <x:v>Meals vendor 3</x:v>
      </x:c>
      <x:c r="E213" s="8" t="n">
        <x:v>423</x:v>
      </x:c>
    </x:row>
    <x:row r="214">
      <x:c r="A214" t="str">
        <x:v>EXP00228</x:v>
      </x:c>
      <x:c r="B214" s="6" t="d">
        <x:v>2025-04-14T00:00:00.000Z</x:v>
      </x:c>
      <x:c r="C214" t="str">
        <x:v>Office supplies</x:v>
      </x:c>
      <x:c r="D214" t="str">
        <x:v>Office supplies vendor 3</x:v>
      </x:c>
      <x:c r="E214" s="8" t="n">
        <x:v>964</x:v>
      </x:c>
    </x:row>
    <x:row r="215">
      <x:c r="A215" t="str">
        <x:v>EXP00206</x:v>
      </x:c>
      <x:c r="B215" s="6" t="d">
        <x:v>2025-04-16T00:00:00.000Z</x:v>
      </x:c>
      <x:c r="C215" t="str">
        <x:v>Travel</x:v>
      </x:c>
      <x:c r="D215" t="str">
        <x:v>Travel vendor 1</x:v>
      </x:c>
      <x:c r="E215" s="8" t="n">
        <x:v>2492</x:v>
      </x:c>
    </x:row>
    <x:row r="216">
      <x:c r="A216" t="str">
        <x:v>EXP00181</x:v>
      </x:c>
      <x:c r="B216" s="6" t="d">
        <x:v>2025-04-18T00:00:00.000Z</x:v>
      </x:c>
      <x:c r="C216" t="str">
        <x:v>Rent</x:v>
      </x:c>
      <x:c r="D216" t="str">
        <x:v>Rent vendor 1</x:v>
      </x:c>
      <x:c r="E216" s="8" t="n">
        <x:v>40000</x:v>
      </x:c>
    </x:row>
    <x:row r="217">
      <x:c r="A217" t="str">
        <x:v>EXP00186</x:v>
      </x:c>
      <x:c r="B217" s="6" t="d">
        <x:v>2025-04-18T00:00:00.000Z</x:v>
      </x:c>
      <x:c r="C217" t="str">
        <x:v>Salaries</x:v>
      </x:c>
      <x:c r="D217" t="str">
        <x:v>Salaries vendor 2</x:v>
      </x:c>
      <x:c r="E217" s="8" t="n">
        <x:v>34782</x:v>
      </x:c>
    </x:row>
    <x:row r="218">
      <x:c r="A218" t="str">
        <x:v>EXP00185</x:v>
      </x:c>
      <x:c r="B218" s="6" t="d">
        <x:v>2025-04-19T00:00:00.000Z</x:v>
      </x:c>
      <x:c r="C218" t="str">
        <x:v>Salaries</x:v>
      </x:c>
      <x:c r="D218" t="str">
        <x:v>Salaries vendor 1</x:v>
      </x:c>
      <x:c r="E218" s="8" t="n">
        <x:v>42201</x:v>
      </x:c>
    </x:row>
    <x:row r="219">
      <x:c r="A219" t="str">
        <x:v>EXP00211</x:v>
      </x:c>
      <x:c r="B219" s="6" t="d">
        <x:v>2025-04-19T00:00:00.000Z</x:v>
      </x:c>
      <x:c r="C219" t="str">
        <x:v>Meals</x:v>
      </x:c>
      <x:c r="D219" t="str">
        <x:v>Meals vendor 2</x:v>
      </x:c>
      <x:c r="E219" s="8" t="n">
        <x:v>297</x:v>
      </x:c>
    </x:row>
    <x:row r="220">
      <x:c r="A220" t="str">
        <x:v>EXP00238</x:v>
      </x:c>
      <x:c r="B220" s="6" t="d">
        <x:v>2025-04-19T00:00:00.000Z</x:v>
      </x:c>
      <x:c r="C220" t="str">
        <x:v>Marketing</x:v>
      </x:c>
      <x:c r="D220" t="str">
        <x:v>Marketing vendor 2</x:v>
      </x:c>
      <x:c r="E220" s="8" t="n">
        <x:v>3452</x:v>
      </x:c>
    </x:row>
    <x:row r="221">
      <x:c r="A221" t="str">
        <x:v>EXP00215</x:v>
      </x:c>
      <x:c r="B221" s="6" t="d">
        <x:v>2025-04-20T00:00:00.000Z</x:v>
      </x:c>
      <x:c r="C221" t="str">
        <x:v>Meals</x:v>
      </x:c>
      <x:c r="D221" t="str">
        <x:v>Meals vendor 3</x:v>
      </x:c>
      <x:c r="E221" s="8" t="n">
        <x:v>557</x:v>
      </x:c>
    </x:row>
    <x:row r="222">
      <x:c r="A222" t="str">
        <x:v>EXP00222</x:v>
      </x:c>
      <x:c r="B222" s="6" t="d">
        <x:v>2025-04-20T00:00:00.000Z</x:v>
      </x:c>
      <x:c r="C222" t="str">
        <x:v>Meals</x:v>
      </x:c>
      <x:c r="D222" t="str">
        <x:v>Meals vendor 1</x:v>
      </x:c>
      <x:c r="E222" s="8" t="n">
        <x:v>586</x:v>
      </x:c>
    </x:row>
    <x:row r="223">
      <x:c r="A223" t="str">
        <x:v>EXP00237</x:v>
      </x:c>
      <x:c r="B223" s="6" t="d">
        <x:v>2025-04-20T00:00:00.000Z</x:v>
      </x:c>
      <x:c r="C223" t="str">
        <x:v>Marketing</x:v>
      </x:c>
      <x:c r="D223" t="str">
        <x:v>Marketing vendor 1</x:v>
      </x:c>
      <x:c r="E223" s="8" t="n">
        <x:v>2382</x:v>
      </x:c>
    </x:row>
    <x:row r="224">
      <x:c r="A224" t="str">
        <x:v>EXP00225</x:v>
      </x:c>
      <x:c r="B224" s="6" t="d">
        <x:v>2025-04-22T00:00:00.000Z</x:v>
      </x:c>
      <x:c r="C224" t="str">
        <x:v>Office supplies</x:v>
      </x:c>
      <x:c r="D224" t="str">
        <x:v>Office supplies vendor 3</x:v>
      </x:c>
      <x:c r="E224" s="8" t="n">
        <x:v>652</x:v>
      </x:c>
    </x:row>
    <x:row r="225">
      <x:c r="A225" t="str">
        <x:v>EXP00230</x:v>
      </x:c>
      <x:c r="B225" s="6" t="d">
        <x:v>2025-04-22T00:00:00.000Z</x:v>
      </x:c>
      <x:c r="C225" t="str">
        <x:v>Office supplies</x:v>
      </x:c>
      <x:c r="D225" t="str">
        <x:v>Office supplies vendor 2</x:v>
      </x:c>
      <x:c r="E225" s="8" t="n">
        <x:v>1121</x:v>
      </x:c>
    </x:row>
    <x:row r="226">
      <x:c r="A226" t="str">
        <x:v>EXP00231</x:v>
      </x:c>
      <x:c r="B226" s="6" t="d">
        <x:v>2025-04-22T00:00:00.000Z</x:v>
      </x:c>
      <x:c r="C226" t="str">
        <x:v>Marketing</x:v>
      </x:c>
      <x:c r="D226" t="str">
        <x:v>Marketing vendor 1</x:v>
      </x:c>
      <x:c r="E226" s="8" t="n">
        <x:v>3239</x:v>
      </x:c>
    </x:row>
    <x:row r="227">
      <x:c r="A227" t="str">
        <x:v>EXP00233</x:v>
      </x:c>
      <x:c r="B227" s="6" t="d">
        <x:v>2025-04-22T00:00:00.000Z</x:v>
      </x:c>
      <x:c r="C227" t="str">
        <x:v>Marketing</x:v>
      </x:c>
      <x:c r="D227" t="str">
        <x:v>Marketing vendor 3</x:v>
      </x:c>
      <x:c r="E227" s="8" t="n">
        <x:v>1801</x:v>
      </x:c>
    </x:row>
    <x:row r="228">
      <x:c r="A228" t="str">
        <x:v>EXP00200</x:v>
      </x:c>
      <x:c r="B228" s="6" t="d">
        <x:v>2025-04-23T00:00:00.000Z</x:v>
      </x:c>
      <x:c r="C228" t="str">
        <x:v>Travel</x:v>
      </x:c>
      <x:c r="D228" t="str">
        <x:v>Travel vendor 1</x:v>
      </x:c>
      <x:c r="E228" s="8" t="n">
        <x:v>997</x:v>
      </x:c>
    </x:row>
    <x:row r="229">
      <x:c r="A229" t="str">
        <x:v>EXP00192</x:v>
      </x:c>
      <x:c r="B229" s="6" t="d">
        <x:v>2025-04-24T00:00:00.000Z</x:v>
      </x:c>
      <x:c r="C229" t="str">
        <x:v>Software</x:v>
      </x:c>
      <x:c r="D229" t="str">
        <x:v>Software vendor 1</x:v>
      </x:c>
      <x:c r="E229" s="8" t="n">
        <x:v>3484</x:v>
      </x:c>
    </x:row>
    <x:row r="230">
      <x:c r="A230" t="str">
        <x:v>EXP00218</x:v>
      </x:c>
      <x:c r="B230" s="6" t="d">
        <x:v>2025-04-24T00:00:00.000Z</x:v>
      </x:c>
      <x:c r="C230" t="str">
        <x:v>Meals</x:v>
      </x:c>
      <x:c r="D230" t="str">
        <x:v>Meals vendor 3</x:v>
      </x:c>
      <x:c r="E230" s="8" t="n">
        <x:v>466</x:v>
      </x:c>
    </x:row>
    <x:row r="231">
      <x:c r="A231" t="str">
        <x:v>EXP00223</x:v>
      </x:c>
      <x:c r="B231" s="6" t="d">
        <x:v>2025-04-24T00:00:00.000Z</x:v>
      </x:c>
      <x:c r="C231" t="str">
        <x:v>Office supplies</x:v>
      </x:c>
      <x:c r="D231" t="str">
        <x:v>Office supplies vendor 1</x:v>
      </x:c>
      <x:c r="E231" s="8" t="n">
        <x:v>582</x:v>
      </x:c>
    </x:row>
    <x:row r="232">
      <x:c r="A232" t="str">
        <x:v>EXP00224</x:v>
      </x:c>
      <x:c r="B232" s="6" t="d">
        <x:v>2025-04-24T00:00:00.000Z</x:v>
      </x:c>
      <x:c r="C232" t="str">
        <x:v>Office supplies</x:v>
      </x:c>
      <x:c r="D232" t="str">
        <x:v>Office supplies vendor 2</x:v>
      </x:c>
      <x:c r="E232" s="8" t="n">
        <x:v>1323</x:v>
      </x:c>
    </x:row>
    <x:row r="233">
      <x:c r="A233" t="str">
        <x:v>EXP00234</x:v>
      </x:c>
      <x:c r="B233" s="6" t="d">
        <x:v>2025-04-24T00:00:00.000Z</x:v>
      </x:c>
      <x:c r="C233" t="str">
        <x:v>Marketing</x:v>
      </x:c>
      <x:c r="D233" t="str">
        <x:v>Marketing vendor 1</x:v>
      </x:c>
      <x:c r="E233" s="8" t="n">
        <x:v>4037</x:v>
      </x:c>
    </x:row>
    <x:row r="234">
      <x:c r="A234" t="str">
        <x:v>EXP00199</x:v>
      </x:c>
      <x:c r="B234" s="6" t="d">
        <x:v>2025-04-26T00:00:00.000Z</x:v>
      </x:c>
      <x:c r="C234" t="str">
        <x:v>Travel</x:v>
      </x:c>
      <x:c r="D234" t="str">
        <x:v>Travel vendor 3</x:v>
      </x:c>
      <x:c r="E234" s="8" t="n">
        <x:v>2625</x:v>
      </x:c>
    </x:row>
    <x:row r="235">
      <x:c r="A235" t="str">
        <x:v>EXP00219</x:v>
      </x:c>
      <x:c r="B235" s="6" t="d">
        <x:v>2025-04-26T00:00:00.000Z</x:v>
      </x:c>
      <x:c r="C235" t="str">
        <x:v>Meals</x:v>
      </x:c>
      <x:c r="D235" t="str">
        <x:v>Meals vendor 1</x:v>
      </x:c>
      <x:c r="E235" s="8" t="n">
        <x:v>367</x:v>
      </x:c>
    </x:row>
    <x:row r="236">
      <x:c r="A236" t="str">
        <x:v>EXP00183</x:v>
      </x:c>
      <x:c r="B236" s="6" t="d">
        <x:v>2025-04-27T00:00:00.000Z</x:v>
      </x:c>
      <x:c r="C236" t="str">
        <x:v>Salaries</x:v>
      </x:c>
      <x:c r="D236" t="str">
        <x:v>Salaries vendor 2</x:v>
      </x:c>
      <x:c r="E236" s="8" t="n">
        <x:v>30983</x:v>
      </x:c>
    </x:row>
    <x:row r="237">
      <x:c r="A237" t="str">
        <x:v>EXP00203</x:v>
      </x:c>
      <x:c r="B237" s="6" t="d">
        <x:v>2025-04-28T00:00:00.000Z</x:v>
      </x:c>
      <x:c r="C237" t="str">
        <x:v>Travel</x:v>
      </x:c>
      <x:c r="D237" t="str">
        <x:v>Travel vendor 1</x:v>
      </x:c>
      <x:c r="E237" s="8" t="n">
        <x:v>2719</x:v>
      </x:c>
    </x:row>
    <x:row r="238">
      <x:c r="A238" t="str">
        <x:v>EXP00205</x:v>
      </x:c>
      <x:c r="B238" s="6" t="d">
        <x:v>2025-04-28T00:00:00.000Z</x:v>
      </x:c>
      <x:c r="C238" t="str">
        <x:v>Travel</x:v>
      </x:c>
      <x:c r="D238" t="str">
        <x:v>Travel vendor 3</x:v>
      </x:c>
      <x:c r="E238" s="8" t="n">
        <x:v>2592</x:v>
      </x:c>
    </x:row>
    <x:row r="239">
      <x:c r="A239" t="str">
        <x:v>EXP00189</x:v>
      </x:c>
      <x:c r="B239" s="6" t="d">
        <x:v>2025-04-29T00:00:00.000Z</x:v>
      </x:c>
      <x:c r="C239" t="str">
        <x:v>Utilities</x:v>
      </x:c>
      <x:c r="D239" t="str">
        <x:v>Utilities vendor 2</x:v>
      </x:c>
      <x:c r="E239" s="8" t="n">
        <x:v>2291</x:v>
      </x:c>
    </x:row>
    <x:row r="240">
      <x:c r="A240" t="str">
        <x:v>EXP00208</x:v>
      </x:c>
      <x:c r="B240" s="6" t="d">
        <x:v>2025-04-29T00:00:00.000Z</x:v>
      </x:c>
      <x:c r="C240" t="str">
        <x:v>Meals</x:v>
      </x:c>
      <x:c r="D240" t="str">
        <x:v>Meals vendor 2</x:v>
      </x:c>
      <x:c r="E240" s="8" t="n">
        <x:v>392</x:v>
      </x:c>
    </x:row>
    <x:row r="241">
      <x:c r="A241" t="str">
        <x:v>EXP00235</x:v>
      </x:c>
      <x:c r="B241" s="6" t="d">
        <x:v>2025-04-29T00:00:00.000Z</x:v>
      </x:c>
      <x:c r="C241" t="str">
        <x:v>Marketing</x:v>
      </x:c>
      <x:c r="D241" t="str">
        <x:v>Marketing vendor 2</x:v>
      </x:c>
      <x:c r="E241" s="8" t="n">
        <x:v>2904</x:v>
      </x:c>
    </x:row>
    <x:row r="242">
      <x:c r="A242" t="str">
        <x:v>EXP00194</x:v>
      </x:c>
      <x:c r="B242" s="6" t="d">
        <x:v>2025-04-30T00:00:00.000Z</x:v>
      </x:c>
      <x:c r="C242" t="str">
        <x:v>Software</x:v>
      </x:c>
      <x:c r="D242" t="str">
        <x:v>Software vendor 3</x:v>
      </x:c>
      <x:c r="E242" s="8" t="n">
        <x:v>3164</x:v>
      </x:c>
    </x:row>
    <x:row r="243">
      <x:c r="A243" t="str">
        <x:v>EXP00195</x:v>
      </x:c>
      <x:c r="B243" s="6" t="d">
        <x:v>2025-04-30T00:00:00.000Z</x:v>
      </x:c>
      <x:c r="C243" t="str">
        <x:v>Software</x:v>
      </x:c>
      <x:c r="D243" t="str">
        <x:v>Software vendor 1</x:v>
      </x:c>
      <x:c r="E243" s="8" t="n">
        <x:v>4104</x:v>
      </x:c>
    </x:row>
    <x:row r="244">
      <x:c r="A244" t="str">
        <x:v>EXP00241</x:v>
      </x:c>
      <x:c r="B244" s="6" t="d">
        <x:v>2025-05-01T00:00:00.000Z</x:v>
      </x:c>
      <x:c r="C244" t="str">
        <x:v>Rent</x:v>
      </x:c>
      <x:c r="D244" t="str">
        <x:v>Rent vendor 1</x:v>
      </x:c>
      <x:c r="E244" s="8" t="n">
        <x:v>40000</x:v>
      </x:c>
    </x:row>
    <x:row r="245">
      <x:c r="A245" t="str">
        <x:v>EXP00266</x:v>
      </x:c>
      <x:c r="B245" s="6" t="d">
        <x:v>2025-05-02T00:00:00.000Z</x:v>
      </x:c>
      <x:c r="C245" t="str">
        <x:v>Travel</x:v>
      </x:c>
      <x:c r="D245" t="str">
        <x:v>Travel vendor 1</x:v>
      </x:c>
      <x:c r="E245" s="8" t="n">
        <x:v>2335</x:v>
      </x:c>
    </x:row>
    <x:row r="246">
      <x:c r="A246" t="str">
        <x:v>EXP00289</x:v>
      </x:c>
      <x:c r="B246" s="6" t="d">
        <x:v>2025-05-02T00:00:00.000Z</x:v>
      </x:c>
      <x:c r="C246" t="str">
        <x:v>Office supplies</x:v>
      </x:c>
      <x:c r="D246" t="str">
        <x:v>Office supplies vendor 1</x:v>
      </x:c>
      <x:c r="E246" s="8" t="n">
        <x:v>660</x:v>
      </x:c>
    </x:row>
    <x:row r="247">
      <x:c r="A247" t="str">
        <x:v>EXP00250</x:v>
      </x:c>
      <x:c r="B247" s="6" t="d">
        <x:v>2025-05-03T00:00:00.000Z</x:v>
      </x:c>
      <x:c r="C247" t="str">
        <x:v>Utilities</x:v>
      </x:c>
      <x:c r="D247" t="str">
        <x:v>Utilities vendor 3</x:v>
      </x:c>
      <x:c r="E247" s="8" t="n">
        <x:v>2601</x:v>
      </x:c>
    </x:row>
    <x:row r="248">
      <x:c r="A248" t="str">
        <x:v>EXP00256</x:v>
      </x:c>
      <x:c r="B248" s="6" t="d">
        <x:v>2025-05-03T00:00:00.000Z</x:v>
      </x:c>
      <x:c r="C248" t="str">
        <x:v>Software</x:v>
      </x:c>
      <x:c r="D248" t="str">
        <x:v>Software vendor 2</x:v>
      </x:c>
      <x:c r="E248" s="8" t="n">
        <x:v>2390</x:v>
      </x:c>
    </x:row>
    <x:row r="249">
      <x:c r="A249" t="str">
        <x:v>EXP00282</x:v>
      </x:c>
      <x:c r="B249" s="6" t="d">
        <x:v>2025-05-03T00:00:00.000Z</x:v>
      </x:c>
      <x:c r="C249" t="str">
        <x:v>Meals</x:v>
      </x:c>
      <x:c r="D249" t="str">
        <x:v>Meals vendor 1</x:v>
      </x:c>
      <x:c r="E249" s="8" t="n">
        <x:v>658</x:v>
      </x:c>
    </x:row>
    <x:row r="250">
      <x:c r="A250" t="str">
        <x:v>EXP00260</x:v>
      </x:c>
      <x:c r="B250" s="6" t="d">
        <x:v>2025-05-06T00:00:00.000Z</x:v>
      </x:c>
      <x:c r="C250" t="str">
        <x:v>Travel</x:v>
      </x:c>
      <x:c r="D250" t="str">
        <x:v>Travel vendor 1</x:v>
      </x:c>
      <x:c r="E250" s="8" t="n">
        <x:v>1490</x:v>
      </x:c>
    </x:row>
    <x:row r="251">
      <x:c r="A251" t="str">
        <x:v>EXP00243</x:v>
      </x:c>
      <x:c r="B251" s="6" t="d">
        <x:v>2025-05-07T00:00:00.000Z</x:v>
      </x:c>
      <x:c r="C251" t="str">
        <x:v>Salaries</x:v>
      </x:c>
      <x:c r="D251" t="str">
        <x:v>Salaries vendor 2</x:v>
      </x:c>
      <x:c r="E251" s="8" t="n">
        <x:v>22543</x:v>
      </x:c>
    </x:row>
    <x:row r="252">
      <x:c r="A252" t="str">
        <x:v>EXP00290</x:v>
      </x:c>
      <x:c r="B252" s="6" t="d">
        <x:v>2025-05-07T00:00:00.000Z</x:v>
      </x:c>
      <x:c r="C252" t="str">
        <x:v>Office supplies</x:v>
      </x:c>
      <x:c r="D252" t="str">
        <x:v>Office supplies vendor 2</x:v>
      </x:c>
      <x:c r="E252" s="8" t="n">
        <x:v>720</x:v>
      </x:c>
    </x:row>
    <x:row r="253">
      <x:c r="A253" t="str">
        <x:v>EXP00259</x:v>
      </x:c>
      <x:c r="B253" s="6" t="d">
        <x:v>2025-05-08T00:00:00.000Z</x:v>
      </x:c>
      <x:c r="C253" t="str">
        <x:v>Travel</x:v>
      </x:c>
      <x:c r="D253" t="str">
        <x:v>Travel vendor 3</x:v>
      </x:c>
      <x:c r="E253" s="8" t="n">
        <x:v>2054</x:v>
      </x:c>
    </x:row>
    <x:row r="254">
      <x:c r="A254" t="str">
        <x:v>EXP00270</x:v>
      </x:c>
      <x:c r="B254" s="6" t="d">
        <x:v>2025-05-08T00:00:00.000Z</x:v>
      </x:c>
      <x:c r="C254" t="str">
        <x:v>Meals</x:v>
      </x:c>
      <x:c r="D254" t="str">
        <x:v>Meals vendor 1</x:v>
      </x:c>
      <x:c r="E254" s="8" t="n">
        <x:v>466</x:v>
      </x:c>
    </x:row>
    <x:row r="255">
      <x:c r="A255" t="str">
        <x:v>EXP00279</x:v>
      </x:c>
      <x:c r="B255" s="6" t="d">
        <x:v>2025-05-08T00:00:00.000Z</x:v>
      </x:c>
      <x:c r="C255" t="str">
        <x:v>Meals</x:v>
      </x:c>
      <x:c r="D255" t="str">
        <x:v>Meals vendor 1</x:v>
      </x:c>
      <x:c r="E255" s="8" t="n">
        <x:v>680</x:v>
      </x:c>
    </x:row>
    <x:row r="256">
      <x:c r="A256" t="str">
        <x:v>EXP00268</x:v>
      </x:c>
      <x:c r="B256" s="6" t="d">
        <x:v>2025-05-09T00:00:00.000Z</x:v>
      </x:c>
      <x:c r="C256" t="str">
        <x:v>Meals</x:v>
      </x:c>
      <x:c r="D256" t="str">
        <x:v>Meals vendor 2</x:v>
      </x:c>
      <x:c r="E256" s="8" t="n">
        <x:v>300</x:v>
      </x:c>
    </x:row>
    <x:row r="257">
      <x:c r="A257" t="str">
        <x:v>EXP00273</x:v>
      </x:c>
      <x:c r="B257" s="6" t="d">
        <x:v>2025-05-09T00:00:00.000Z</x:v>
      </x:c>
      <x:c r="C257" t="str">
        <x:v>Meals</x:v>
      </x:c>
      <x:c r="D257" t="str">
        <x:v>Meals vendor 1</x:v>
      </x:c>
      <x:c r="E257" s="8" t="n">
        <x:v>395</x:v>
      </x:c>
    </x:row>
    <x:row r="258">
      <x:c r="A258" t="str">
        <x:v>EXP00280</x:v>
      </x:c>
      <x:c r="B258" s="6" t="d">
        <x:v>2025-05-09T00:00:00.000Z</x:v>
      </x:c>
      <x:c r="C258" t="str">
        <x:v>Meals</x:v>
      </x:c>
      <x:c r="D258" t="str">
        <x:v>Meals vendor 2</x:v>
      </x:c>
      <x:c r="E258" s="8" t="n">
        <x:v>457</x:v>
      </x:c>
    </x:row>
    <x:row r="259">
      <x:c r="A259" t="str">
        <x:v>EXP00249</x:v>
      </x:c>
      <x:c r="B259" s="6" t="d">
        <x:v>2025-05-11T00:00:00.000Z</x:v>
      </x:c>
      <x:c r="C259" t="str">
        <x:v>Utilities</x:v>
      </x:c>
      <x:c r="D259" t="str">
        <x:v>Utilities vendor 2</x:v>
      </x:c>
      <x:c r="E259" s="8" t="n">
        <x:v>3846</x:v>
      </x:c>
    </x:row>
    <x:row r="260">
      <x:c r="A260" t="str">
        <x:v>EXP00285</x:v>
      </x:c>
      <x:c r="B260" s="6" t="d">
        <x:v>2025-05-11T00:00:00.000Z</x:v>
      </x:c>
      <x:c r="C260" t="str">
        <x:v>Office supplies</x:v>
      </x:c>
      <x:c r="D260" t="str">
        <x:v>Office supplies vendor 3</x:v>
      </x:c>
      <x:c r="E260" s="8" t="n">
        <x:v>1408</x:v>
      </x:c>
    </x:row>
    <x:row r="261">
      <x:c r="A261" t="str">
        <x:v>EXP00258</x:v>
      </x:c>
      <x:c r="B261" s="6" t="d">
        <x:v>2025-05-14T00:00:00.000Z</x:v>
      </x:c>
      <x:c r="C261" t="str">
        <x:v>Travel</x:v>
      </x:c>
      <x:c r="D261" t="str">
        <x:v>Travel vendor 2</x:v>
      </x:c>
      <x:c r="E261" s="8" t="n">
        <x:v>1813</x:v>
      </x:c>
    </x:row>
    <x:row r="262">
      <x:c r="A262" t="str">
        <x:v>EXP00283</x:v>
      </x:c>
      <x:c r="B262" s="6" t="d">
        <x:v>2025-05-14T00:00:00.000Z</x:v>
      </x:c>
      <x:c r="C262" t="str">
        <x:v>Office supplies</x:v>
      </x:c>
      <x:c r="D262" t="str">
        <x:v>Office supplies vendor 1</x:v>
      </x:c>
      <x:c r="E262" s="8" t="n">
        <x:v>742</x:v>
      </x:c>
    </x:row>
    <x:row r="263">
      <x:c r="A263" t="str">
        <x:v>EXP00284</x:v>
      </x:c>
      <x:c r="B263" s="6" t="d">
        <x:v>2025-05-14T00:00:00.000Z</x:v>
      </x:c>
      <x:c r="C263" t="str">
        <x:v>Office supplies</x:v>
      </x:c>
      <x:c r="D263" t="str">
        <x:v>Office supplies vendor 2</x:v>
      </x:c>
      <x:c r="E263" s="8" t="n">
        <x:v>845</x:v>
      </x:c>
    </x:row>
    <x:row r="264">
      <x:c r="A264" t="str">
        <x:v>EXP00288</x:v>
      </x:c>
      <x:c r="B264" s="6" t="d">
        <x:v>2025-05-14T00:00:00.000Z</x:v>
      </x:c>
      <x:c r="C264" t="str">
        <x:v>Office supplies</x:v>
      </x:c>
      <x:c r="D264" t="str">
        <x:v>Office supplies vendor 3</x:v>
      </x:c>
      <x:c r="E264" s="8" t="n">
        <x:v>892</x:v>
      </x:c>
    </x:row>
    <x:row r="265">
      <x:c r="A265" t="str">
        <x:v>EXP00294</x:v>
      </x:c>
      <x:c r="B265" s="6" t="d">
        <x:v>2025-05-14T00:00:00.000Z</x:v>
      </x:c>
      <x:c r="C265" t="str">
        <x:v>Marketing</x:v>
      </x:c>
      <x:c r="D265" t="str">
        <x:v>Marketing vendor 1</x:v>
      </x:c>
      <x:c r="E265" s="8" t="n">
        <x:v>1387</x:v>
      </x:c>
    </x:row>
    <x:row r="266">
      <x:c r="A266" t="str">
        <x:v>EXP00265</x:v>
      </x:c>
      <x:c r="B266" s="6" t="d">
        <x:v>2025-05-15T00:00:00.000Z</x:v>
      </x:c>
      <x:c r="C266" t="str">
        <x:v>Travel</x:v>
      </x:c>
      <x:c r="D266" t="str">
        <x:v>Travel vendor 3</x:v>
      </x:c>
      <x:c r="E266" s="8" t="n">
        <x:v>2293</x:v>
      </x:c>
    </x:row>
    <x:row r="267">
      <x:c r="A267" t="str">
        <x:v>EXP00267</x:v>
      </x:c>
      <x:c r="B267" s="6" t="d">
        <x:v>2025-05-15T00:00:00.000Z</x:v>
      </x:c>
      <x:c r="C267" t="str">
        <x:v>Meals</x:v>
      </x:c>
      <x:c r="D267" t="str">
        <x:v>Meals vendor 1</x:v>
      </x:c>
      <x:c r="E267" s="8" t="n">
        <x:v>685</x:v>
      </x:c>
    </x:row>
    <x:row r="268">
      <x:c r="A268" t="str">
        <x:v>EXP00281</x:v>
      </x:c>
      <x:c r="B268" s="6" t="d">
        <x:v>2025-05-15T00:00:00.000Z</x:v>
      </x:c>
      <x:c r="C268" t="str">
        <x:v>Meals</x:v>
      </x:c>
      <x:c r="D268" t="str">
        <x:v>Meals vendor 3</x:v>
      </x:c>
      <x:c r="E268" s="8" t="n">
        <x:v>319</x:v>
      </x:c>
    </x:row>
    <x:row r="269">
      <x:c r="A269" t="str">
        <x:v>EXP00287</x:v>
      </x:c>
      <x:c r="B269" s="6" t="d">
        <x:v>2025-05-15T00:00:00.000Z</x:v>
      </x:c>
      <x:c r="C269" t="str">
        <x:v>Office supplies</x:v>
      </x:c>
      <x:c r="D269" t="str">
        <x:v>Office supplies vendor 2</x:v>
      </x:c>
      <x:c r="E269" s="8" t="n">
        <x:v>658</x:v>
      </x:c>
    </x:row>
    <x:row r="270">
      <x:c r="A270" t="str">
        <x:v>EXP00245</x:v>
      </x:c>
      <x:c r="B270" s="6" t="d">
        <x:v>2025-05-16T00:00:00.000Z</x:v>
      </x:c>
      <x:c r="C270" t="str">
        <x:v>Salaries</x:v>
      </x:c>
      <x:c r="D270" t="str">
        <x:v>Salaries vendor 1</x:v>
      </x:c>
      <x:c r="E270" s="8" t="n">
        <x:v>35129</x:v>
      </x:c>
    </x:row>
    <x:row r="271">
      <x:c r="A271" t="str">
        <x:v>EXP00252</x:v>
      </x:c>
      <x:c r="B271" s="6" t="d">
        <x:v>2025-05-16T00:00:00.000Z</x:v>
      </x:c>
      <x:c r="C271" t="str">
        <x:v>Software</x:v>
      </x:c>
      <x:c r="D271" t="str">
        <x:v>Software vendor 1</x:v>
      </x:c>
      <x:c r="E271" s="8" t="n">
        <x:v>3215</x:v>
      </x:c>
    </x:row>
    <x:row r="272">
      <x:c r="A272" t="str">
        <x:v>EXP00277</x:v>
      </x:c>
      <x:c r="B272" s="6" t="d">
        <x:v>2025-05-16T00:00:00.000Z</x:v>
      </x:c>
      <x:c r="C272" t="str">
        <x:v>Meals</x:v>
      </x:c>
      <x:c r="D272" t="str">
        <x:v>Meals vendor 2</x:v>
      </x:c>
      <x:c r="E272" s="8" t="n">
        <x:v>673</x:v>
      </x:c>
    </x:row>
    <x:row r="273">
      <x:c r="A273" t="str">
        <x:v>EXP00244</x:v>
      </x:c>
      <x:c r="B273" s="6" t="d">
        <x:v>2025-05-17T00:00:00.000Z</x:v>
      </x:c>
      <x:c r="C273" t="str">
        <x:v>Salaries</x:v>
      </x:c>
      <x:c r="D273" t="str">
        <x:v>Salaries vendor 3</x:v>
      </x:c>
      <x:c r="E273" s="8" t="n">
        <x:v>40814</x:v>
      </x:c>
    </x:row>
    <x:row r="274">
      <x:c r="A274" t="str">
        <x:v>EXP00264</x:v>
      </x:c>
      <x:c r="B274" s="6" t="d">
        <x:v>2025-05-17T00:00:00.000Z</x:v>
      </x:c>
      <x:c r="C274" t="str">
        <x:v>Travel</x:v>
      </x:c>
      <x:c r="D274" t="str">
        <x:v>Travel vendor 2</x:v>
      </x:c>
      <x:c r="E274" s="8" t="n">
        <x:v>2348</x:v>
      </x:c>
    </x:row>
    <x:row r="275">
      <x:c r="A275" t="str">
        <x:v>EXP00276</x:v>
      </x:c>
      <x:c r="B275" s="6" t="d">
        <x:v>2025-05-17T00:00:00.000Z</x:v>
      </x:c>
      <x:c r="C275" t="str">
        <x:v>Meals</x:v>
      </x:c>
      <x:c r="D275" t="str">
        <x:v>Meals vendor 1</x:v>
      </x:c>
      <x:c r="E275" s="8" t="n">
        <x:v>636</x:v>
      </x:c>
    </x:row>
    <x:row r="276">
      <x:c r="A276" t="str">
        <x:v>EXP00286</x:v>
      </x:c>
      <x:c r="B276" s="6" t="d">
        <x:v>2025-05-18T00:00:00.000Z</x:v>
      </x:c>
      <x:c r="C276" t="str">
        <x:v>Office supplies</x:v>
      </x:c>
      <x:c r="D276" t="str">
        <x:v>Office supplies vendor 1</x:v>
      </x:c>
      <x:c r="E276" s="8" t="n">
        <x:v>587</x:v>
      </x:c>
    </x:row>
    <x:row r="277">
      <x:c r="A277" t="str">
        <x:v>EXP00295</x:v>
      </x:c>
      <x:c r="B277" s="6" t="d">
        <x:v>2025-05-18T00:00:00.000Z</x:v>
      </x:c>
      <x:c r="C277" t="str">
        <x:v>Marketing</x:v>
      </x:c>
      <x:c r="D277" t="str">
        <x:v>Marketing vendor 2</x:v>
      </x:c>
      <x:c r="E277" s="8" t="n">
        <x:v>3686</x:v>
      </x:c>
    </x:row>
    <x:row r="278">
      <x:c r="A278" t="str">
        <x:v>EXP00298</x:v>
      </x:c>
      <x:c r="B278" s="6" t="d">
        <x:v>2025-05-18T00:00:00.000Z</x:v>
      </x:c>
      <x:c r="C278" t="str">
        <x:v>Marketing</x:v>
      </x:c>
      <x:c r="D278" t="str">
        <x:v>Marketing vendor 2</x:v>
      </x:c>
      <x:c r="E278" s="8" t="n">
        <x:v>3851</x:v>
      </x:c>
    </x:row>
    <x:row r="279">
      <x:c r="A279" t="str">
        <x:v>EXP00248</x:v>
      </x:c>
      <x:c r="B279" s="6" t="d">
        <x:v>2025-05-20T00:00:00.000Z</x:v>
      </x:c>
      <x:c r="C279" t="str">
        <x:v>Utilities</x:v>
      </x:c>
      <x:c r="D279" t="str">
        <x:v>Utilities vendor 1</x:v>
      </x:c>
      <x:c r="E279" s="8" t="n">
        <x:v>4102</x:v>
      </x:c>
    </x:row>
    <x:row r="280">
      <x:c r="A280" t="str">
        <x:v>EXP00253</x:v>
      </x:c>
      <x:c r="B280" s="6" t="d">
        <x:v>2025-05-20T00:00:00.000Z</x:v>
      </x:c>
      <x:c r="C280" t="str">
        <x:v>Software</x:v>
      </x:c>
      <x:c r="D280" t="str">
        <x:v>Software vendor 2</x:v>
      </x:c>
      <x:c r="E280" s="8" t="n">
        <x:v>3546</x:v>
      </x:c>
    </x:row>
    <x:row r="281">
      <x:c r="A281" t="str">
        <x:v>EXP00300</x:v>
      </x:c>
      <x:c r="B281" s="6" t="d">
        <x:v>2025-05-20T00:00:00.000Z</x:v>
      </x:c>
      <x:c r="C281" t="str">
        <x:v>Marketing</x:v>
      </x:c>
      <x:c r="D281" t="str">
        <x:v>Marketing vendor 1</x:v>
      </x:c>
      <x:c r="E281" s="8" t="n">
        <x:v>2376</x:v>
      </x:c>
    </x:row>
    <x:row r="282">
      <x:c r="A282" t="str">
        <x:v>EXP00272</x:v>
      </x:c>
      <x:c r="B282" s="6" t="d">
        <x:v>2025-05-21T00:00:00.000Z</x:v>
      </x:c>
      <x:c r="C282" t="str">
        <x:v>Meals</x:v>
      </x:c>
      <x:c r="D282" t="str">
        <x:v>Meals vendor 3</x:v>
      </x:c>
      <x:c r="E282" s="8" t="n">
        <x:v>512</x:v>
      </x:c>
    </x:row>
    <x:row r="283">
      <x:c r="A283" t="str">
        <x:v>EXP00278</x:v>
      </x:c>
      <x:c r="B283" s="6" t="d">
        <x:v>2025-05-21T00:00:00.000Z</x:v>
      </x:c>
      <x:c r="C283" t="str">
        <x:v>Meals</x:v>
      </x:c>
      <x:c r="D283" t="str">
        <x:v>Meals vendor 3</x:v>
      </x:c>
      <x:c r="E283" s="8" t="n">
        <x:v>448</x:v>
      </x:c>
    </x:row>
    <x:row r="284">
      <x:c r="A284" t="str">
        <x:v>EXP00242</x:v>
      </x:c>
      <x:c r="B284" s="6" t="d">
        <x:v>2025-05-22T00:00:00.000Z</x:v>
      </x:c>
      <x:c r="C284" t="str">
        <x:v>Salaries</x:v>
      </x:c>
      <x:c r="D284" t="str">
        <x:v>Salaries vendor 1</x:v>
      </x:c>
      <x:c r="E284" s="8" t="n">
        <x:v>25518</x:v>
      </x:c>
    </x:row>
    <x:row r="285">
      <x:c r="A285" t="str">
        <x:v>EXP00263</x:v>
      </x:c>
      <x:c r="B285" s="6" t="d">
        <x:v>2025-05-23T00:00:00.000Z</x:v>
      </x:c>
      <x:c r="C285" t="str">
        <x:v>Travel</x:v>
      </x:c>
      <x:c r="D285" t="str">
        <x:v>Travel vendor 1</x:v>
      </x:c>
      <x:c r="E285" s="8" t="n">
        <x:v>2002</x:v>
      </x:c>
    </x:row>
    <x:row r="286">
      <x:c r="A286" t="str">
        <x:v>EXP00296</x:v>
      </x:c>
      <x:c r="B286" s="6" t="d">
        <x:v>2025-05-24T00:00:00.000Z</x:v>
      </x:c>
      <x:c r="C286" t="str">
        <x:v>Marketing</x:v>
      </x:c>
      <x:c r="D286" t="str">
        <x:v>Marketing vendor 3</x:v>
      </x:c>
      <x:c r="E286" s="8" t="n">
        <x:v>2872</x:v>
      </x:c>
    </x:row>
    <x:row r="287">
      <x:c r="A287" t="str">
        <x:v>EXP00297</x:v>
      </x:c>
      <x:c r="B287" s="6" t="d">
        <x:v>2025-05-24T00:00:00.000Z</x:v>
      </x:c>
      <x:c r="C287" t="str">
        <x:v>Marketing</x:v>
      </x:c>
      <x:c r="D287" t="str">
        <x:v>Marketing vendor 1</x:v>
      </x:c>
      <x:c r="E287" s="8" t="n">
        <x:v>2608</x:v>
      </x:c>
    </x:row>
    <x:row r="288">
      <x:c r="A288" t="str">
        <x:v>EXP00255</x:v>
      </x:c>
      <x:c r="B288" s="6" t="d">
        <x:v>2025-05-25T00:00:00.000Z</x:v>
      </x:c>
      <x:c r="C288" t="str">
        <x:v>Software</x:v>
      </x:c>
      <x:c r="D288" t="str">
        <x:v>Software vendor 1</x:v>
      </x:c>
      <x:c r="E288" s="8" t="n">
        <x:v>2832</x:v>
      </x:c>
    </x:row>
    <x:row r="289">
      <x:c r="A289" t="str">
        <x:v>EXP00257</x:v>
      </x:c>
      <x:c r="B289" s="6" t="d">
        <x:v>2025-05-25T00:00:00.000Z</x:v>
      </x:c>
      <x:c r="C289" t="str">
        <x:v>Travel</x:v>
      </x:c>
      <x:c r="D289" t="str">
        <x:v>Travel vendor 1</x:v>
      </x:c>
      <x:c r="E289" s="8" t="n">
        <x:v>2337</x:v>
      </x:c>
    </x:row>
    <x:row r="290">
      <x:c r="A290" t="str">
        <x:v>EXP00269</x:v>
      </x:c>
      <x:c r="B290" s="6" t="d">
        <x:v>2025-05-25T00:00:00.000Z</x:v>
      </x:c>
      <x:c r="C290" t="str">
        <x:v>Meals</x:v>
      </x:c>
      <x:c r="D290" t="str">
        <x:v>Meals vendor 3</x:v>
      </x:c>
      <x:c r="E290" s="8" t="n">
        <x:v>306</x:v>
      </x:c>
    </x:row>
    <x:row r="291">
      <x:c r="A291" t="str">
        <x:v>EXP00274</x:v>
      </x:c>
      <x:c r="B291" s="6" t="d">
        <x:v>2025-05-25T00:00:00.000Z</x:v>
      </x:c>
      <x:c r="C291" t="str">
        <x:v>Meals</x:v>
      </x:c>
      <x:c r="D291" t="str">
        <x:v>Meals vendor 2</x:v>
      </x:c>
      <x:c r="E291" s="8" t="n">
        <x:v>607</x:v>
      </x:c>
    </x:row>
    <x:row r="292">
      <x:c r="A292" t="str">
        <x:v>EXP00275</x:v>
      </x:c>
      <x:c r="B292" s="6" t="d">
        <x:v>2025-05-25T00:00:00.000Z</x:v>
      </x:c>
      <x:c r="C292" t="str">
        <x:v>Meals</x:v>
      </x:c>
      <x:c r="D292" t="str">
        <x:v>Meals vendor 3</x:v>
      </x:c>
      <x:c r="E292" s="8" t="n">
        <x:v>456</x:v>
      </x:c>
    </x:row>
    <x:row r="293">
      <x:c r="A293" t="str">
        <x:v>EXP00246</x:v>
      </x:c>
      <x:c r="B293" s="6" t="d">
        <x:v>2025-05-26T00:00:00.000Z</x:v>
      </x:c>
      <x:c r="C293" t="str">
        <x:v>Salaries</x:v>
      </x:c>
      <x:c r="D293" t="str">
        <x:v>Salaries vendor 2</x:v>
      </x:c>
      <x:c r="E293" s="8" t="n">
        <x:v>26101</x:v>
      </x:c>
    </x:row>
    <x:row r="294">
      <x:c r="A294" t="str">
        <x:v>EXP00261</x:v>
      </x:c>
      <x:c r="B294" s="6" t="d">
        <x:v>2025-05-26T00:00:00.000Z</x:v>
      </x:c>
      <x:c r="C294" t="str">
        <x:v>Travel</x:v>
      </x:c>
      <x:c r="D294" t="str">
        <x:v>Travel vendor 2</x:v>
      </x:c>
      <x:c r="E294" s="8" t="n">
        <x:v>1517</x:v>
      </x:c>
    </x:row>
    <x:row r="295">
      <x:c r="A295" t="str">
        <x:v>EXP00299</x:v>
      </x:c>
      <x:c r="B295" s="6" t="d">
        <x:v>2025-05-26T00:00:00.000Z</x:v>
      </x:c>
      <x:c r="C295" t="str">
        <x:v>Marketing</x:v>
      </x:c>
      <x:c r="D295" t="str">
        <x:v>Marketing vendor 3</x:v>
      </x:c>
      <x:c r="E295" s="8" t="n">
        <x:v>2132</x:v>
      </x:c>
    </x:row>
    <x:row r="296">
      <x:c r="A296" t="str">
        <x:v>EXP00251</x:v>
      </x:c>
      <x:c r="B296" s="6" t="d">
        <x:v>2025-05-27T00:00:00.000Z</x:v>
      </x:c>
      <x:c r="C296" t="str">
        <x:v>Utilities</x:v>
      </x:c>
      <x:c r="D296" t="str">
        <x:v>Utilities vendor 1</x:v>
      </x:c>
      <x:c r="E296" s="8" t="n">
        <x:v>3864</x:v>
      </x:c>
    </x:row>
    <x:row r="297">
      <x:c r="A297" t="str">
        <x:v>EXP00271</x:v>
      </x:c>
      <x:c r="B297" s="6" t="d">
        <x:v>2025-05-27T00:00:00.000Z</x:v>
      </x:c>
      <x:c r="C297" t="str">
        <x:v>Meals</x:v>
      </x:c>
      <x:c r="D297" t="str">
        <x:v>Meals vendor 2</x:v>
      </x:c>
      <x:c r="E297" s="8" t="n">
        <x:v>498</x:v>
      </x:c>
    </x:row>
    <x:row r="298">
      <x:c r="A298" t="str">
        <x:v>EXP00293</x:v>
      </x:c>
      <x:c r="B298" s="6" t="d">
        <x:v>2025-05-27T00:00:00.000Z</x:v>
      </x:c>
      <x:c r="C298" t="str">
        <x:v>Marketing</x:v>
      </x:c>
      <x:c r="D298" t="str">
        <x:v>Marketing vendor 3</x:v>
      </x:c>
      <x:c r="E298" s="8" t="n">
        <x:v>3860</x:v>
      </x:c>
    </x:row>
    <x:row r="299">
      <x:c r="A299" t="str">
        <x:v>EXP00254</x:v>
      </x:c>
      <x:c r="B299" s="6" t="d">
        <x:v>2025-05-28T00:00:00.000Z</x:v>
      </x:c>
      <x:c r="C299" t="str">
        <x:v>Software</x:v>
      </x:c>
      <x:c r="D299" t="str">
        <x:v>Software vendor 3</x:v>
      </x:c>
      <x:c r="E299" s="8" t="n">
        <x:v>5717</x:v>
      </x:c>
    </x:row>
    <x:row r="300">
      <x:c r="A300" t="str">
        <x:v>EXP00247</x:v>
      </x:c>
      <x:c r="B300" s="6" t="d">
        <x:v>2025-05-29T00:00:00.000Z</x:v>
      </x:c>
      <x:c r="C300" t="str">
        <x:v>Salaries</x:v>
      </x:c>
      <x:c r="D300" t="str">
        <x:v>Salaries vendor 3</x:v>
      </x:c>
      <x:c r="E300" s="8" t="n">
        <x:v>29895</x:v>
      </x:c>
    </x:row>
    <x:row r="301">
      <x:c r="A301" t="str">
        <x:v>EXP00291</x:v>
      </x:c>
      <x:c r="B301" s="6" t="d">
        <x:v>2025-05-29T00:00:00.000Z</x:v>
      </x:c>
      <x:c r="C301" t="str">
        <x:v>Marketing</x:v>
      </x:c>
      <x:c r="D301" t="str">
        <x:v>Marketing vendor 1</x:v>
      </x:c>
      <x:c r="E301" s="8" t="n">
        <x:v>2374</x:v>
      </x:c>
    </x:row>
    <x:row r="302">
      <x:c r="A302" t="str">
        <x:v>EXP00262</x:v>
      </x:c>
      <x:c r="B302" s="6" t="d">
        <x:v>2025-05-31T00:00:00.000Z</x:v>
      </x:c>
      <x:c r="C302" t="str">
        <x:v>Travel</x:v>
      </x:c>
      <x:c r="D302" t="str">
        <x:v>Travel vendor 3</x:v>
      </x:c>
      <x:c r="E302" s="8" t="n">
        <x:v>1092</x:v>
      </x:c>
    </x:row>
    <x:row r="303">
      <x:c r="A303" t="str">
        <x:v>EXP00292</x:v>
      </x:c>
      <x:c r="B303" s="6" t="d">
        <x:v>2025-05-31T00:00:00.000Z</x:v>
      </x:c>
      <x:c r="C303" t="str">
        <x:v>Marketing</x:v>
      </x:c>
      <x:c r="D303" t="str">
        <x:v>Marketing vendor 2</x:v>
      </x:c>
      <x:c r="E303" s="8" t="n">
        <x:v>3390</x:v>
      </x:c>
    </x:row>
    <x:row r="304">
      <x:c r="A304" t="str">
        <x:v>EXP00318</x:v>
      </x:c>
      <x:c r="B304" s="6" t="d">
        <x:v>2025-06-01T00:00:00.000Z</x:v>
      </x:c>
      <x:c r="C304" t="str">
        <x:v>Travel</x:v>
      </x:c>
      <x:c r="D304" t="str">
        <x:v>Travel vendor 2</x:v>
      </x:c>
      <x:c r="E304" s="8" t="n">
        <x:v>4688</x:v>
      </x:c>
    </x:row>
    <x:row r="305">
      <x:c r="A305" t="str">
        <x:v>EXP00352</x:v>
      </x:c>
      <x:c r="B305" s="6" t="d">
        <x:v>2025-06-03T00:00:00.000Z</x:v>
      </x:c>
      <x:c r="C305" t="str">
        <x:v>Marketing</x:v>
      </x:c>
      <x:c r="D305" t="str">
        <x:v>Marketing vendor 2</x:v>
      </x:c>
      <x:c r="E305" s="8" t="n">
        <x:v>2191</x:v>
      </x:c>
    </x:row>
    <x:row r="306">
      <x:c r="A306" t="str">
        <x:v>EXP00325</x:v>
      </x:c>
      <x:c r="B306" s="6" t="d">
        <x:v>2025-06-04T00:00:00.000Z</x:v>
      </x:c>
      <x:c r="C306" t="str">
        <x:v>Travel</x:v>
      </x:c>
      <x:c r="D306" t="str">
        <x:v>Travel vendor 3</x:v>
      </x:c>
      <x:c r="E306" s="8" t="n">
        <x:v>1993</x:v>
      </x:c>
    </x:row>
    <x:row r="307">
      <x:c r="A307" t="str">
        <x:v>EXP00332</x:v>
      </x:c>
      <x:c r="B307" s="6" t="d">
        <x:v>2025-06-04T00:00:00.000Z</x:v>
      </x:c>
      <x:c r="C307" t="str">
        <x:v>Meals</x:v>
      </x:c>
      <x:c r="D307" t="str">
        <x:v>Meals vendor 3</x:v>
      </x:c>
      <x:c r="E307" s="8" t="n">
        <x:v>680</x:v>
      </x:c>
    </x:row>
    <x:row r="308">
      <x:c r="A308" t="str">
        <x:v>EXP00340</x:v>
      </x:c>
      <x:c r="B308" s="6" t="d">
        <x:v>2025-06-04T00:00:00.000Z</x:v>
      </x:c>
      <x:c r="C308" t="str">
        <x:v>Meals</x:v>
      </x:c>
      <x:c r="D308" t="str">
        <x:v>Meals vendor 2</x:v>
      </x:c>
      <x:c r="E308" s="8" t="n">
        <x:v>488</x:v>
      </x:c>
    </x:row>
    <x:row r="309">
      <x:c r="A309" t="str">
        <x:v>EXP00306</x:v>
      </x:c>
      <x:c r="B309" s="6" t="d">
        <x:v>2025-06-05T00:00:00.000Z</x:v>
      </x:c>
      <x:c r="C309" t="str">
        <x:v>Salaries</x:v>
      </x:c>
      <x:c r="D309" t="str">
        <x:v>Salaries vendor 2</x:v>
      </x:c>
      <x:c r="E309" s="8" t="n">
        <x:v>41585</x:v>
      </x:c>
    </x:row>
    <x:row r="310">
      <x:c r="A310" t="str">
        <x:v>EXP00309</x:v>
      </x:c>
      <x:c r="B310" s="6" t="d">
        <x:v>2025-06-05T00:00:00.000Z</x:v>
      </x:c>
      <x:c r="C310" t="str">
        <x:v>Utilities</x:v>
      </x:c>
      <x:c r="D310" t="str">
        <x:v>Utilities vendor 2</x:v>
      </x:c>
      <x:c r="E310" s="8" t="n">
        <x:v>3089</x:v>
      </x:c>
    </x:row>
    <x:row r="311">
      <x:c r="A311" t="str">
        <x:v>EXP00320</x:v>
      </x:c>
      <x:c r="B311" s="6" t="d">
        <x:v>2025-06-05T00:00:00.000Z</x:v>
      </x:c>
      <x:c r="C311" t="str">
        <x:v>Travel</x:v>
      </x:c>
      <x:c r="D311" t="str">
        <x:v>Travel vendor 1</x:v>
      </x:c>
      <x:c r="E311" s="8" t="n">
        <x:v>5450</x:v>
      </x:c>
    </x:row>
    <x:row r="312">
      <x:c r="A312" t="str">
        <x:v>EXP00322</x:v>
      </x:c>
      <x:c r="B312" s="6" t="d">
        <x:v>2025-06-05T00:00:00.000Z</x:v>
      </x:c>
      <x:c r="C312" t="str">
        <x:v>Travel</x:v>
      </x:c>
      <x:c r="D312" t="str">
        <x:v>Travel vendor 3</x:v>
      </x:c>
      <x:c r="E312" s="8" t="n">
        <x:v>2134</x:v>
      </x:c>
    </x:row>
    <x:row r="313">
      <x:c r="A313" t="str">
        <x:v>EXP00349</x:v>
      </x:c>
      <x:c r="B313" s="6" t="d">
        <x:v>2025-06-05T00:00:00.000Z</x:v>
      </x:c>
      <x:c r="C313" t="str">
        <x:v>Office supplies</x:v>
      </x:c>
      <x:c r="D313" t="str">
        <x:v>Office supplies vendor 1</x:v>
      </x:c>
      <x:c r="E313" s="8" t="n">
        <x:v>1141</x:v>
      </x:c>
    </x:row>
    <x:row r="314">
      <x:c r="A314" t="str">
        <x:v>EXP00302</x:v>
      </x:c>
      <x:c r="B314" s="6" t="d">
        <x:v>2025-06-06T00:00:00.000Z</x:v>
      </x:c>
      <x:c r="C314" t="str">
        <x:v>Salaries</x:v>
      </x:c>
      <x:c r="D314" t="str">
        <x:v>Salaries vendor 1</x:v>
      </x:c>
      <x:c r="E314" s="8" t="n">
        <x:v>25372</x:v>
      </x:c>
    </x:row>
    <x:row r="315">
      <x:c r="A315" t="str">
        <x:v>EXP00321</x:v>
      </x:c>
      <x:c r="B315" s="6" t="d">
        <x:v>2025-06-08T00:00:00.000Z</x:v>
      </x:c>
      <x:c r="C315" t="str">
        <x:v>Travel</x:v>
      </x:c>
      <x:c r="D315" t="str">
        <x:v>Travel vendor 2</x:v>
      </x:c>
      <x:c r="E315" s="8" t="n">
        <x:v>2718</x:v>
      </x:c>
    </x:row>
    <x:row r="316">
      <x:c r="A316" t="str">
        <x:v>EXP00331</x:v>
      </x:c>
      <x:c r="B316" s="6" t="d">
        <x:v>2025-06-08T00:00:00.000Z</x:v>
      </x:c>
      <x:c r="C316" t="str">
        <x:v>Meals</x:v>
      </x:c>
      <x:c r="D316" t="str">
        <x:v>Meals vendor 2</x:v>
      </x:c>
      <x:c r="E316" s="8" t="n">
        <x:v>817</x:v>
      </x:c>
    </x:row>
    <x:row r="317">
      <x:c r="A317" t="str">
        <x:v>EXP00356</x:v>
      </x:c>
      <x:c r="B317" s="6" t="d">
        <x:v>2025-06-08T00:00:00.000Z</x:v>
      </x:c>
      <x:c r="C317" t="str">
        <x:v>Marketing</x:v>
      </x:c>
      <x:c r="D317" t="str">
        <x:v>Marketing vendor 3</x:v>
      </x:c>
      <x:c r="E317" s="8" t="n">
        <x:v>1837</x:v>
      </x:c>
    </x:row>
    <x:row r="318">
      <x:c r="A318" t="str">
        <x:v>EXP00312</x:v>
      </x:c>
      <x:c r="B318" s="6" t="d">
        <x:v>2025-06-09T00:00:00.000Z</x:v>
      </x:c>
      <x:c r="C318" t="str">
        <x:v>Software</x:v>
      </x:c>
      <x:c r="D318" t="str">
        <x:v>Software vendor 1</x:v>
      </x:c>
      <x:c r="E318" s="8" t="n">
        <x:v>2827</x:v>
      </x:c>
    </x:row>
    <x:row r="319">
      <x:c r="A319" t="str">
        <x:v>EXP00316</x:v>
      </x:c>
      <x:c r="B319" s="6" t="d">
        <x:v>2025-06-09T00:00:00.000Z</x:v>
      </x:c>
      <x:c r="C319" t="str">
        <x:v>Software</x:v>
      </x:c>
      <x:c r="D319" t="str">
        <x:v>Software vendor 2</x:v>
      </x:c>
      <x:c r="E319" s="8" t="n">
        <x:v>5130</x:v>
      </x:c>
    </x:row>
    <x:row r="320">
      <x:c r="A320" t="str">
        <x:v>EXP00353</x:v>
      </x:c>
      <x:c r="B320" s="6" t="d">
        <x:v>2025-06-09T00:00:00.000Z</x:v>
      </x:c>
      <x:c r="C320" t="str">
        <x:v>Marketing</x:v>
      </x:c>
      <x:c r="D320" t="str">
        <x:v>Marketing vendor 3</x:v>
      </x:c>
      <x:c r="E320" s="8" t="n">
        <x:v>2125</x:v>
      </x:c>
    </x:row>
    <x:row r="321">
      <x:c r="A321" t="str">
        <x:v>EXP00335</x:v>
      </x:c>
      <x:c r="B321" s="6" t="d">
        <x:v>2025-06-10T00:00:00.000Z</x:v>
      </x:c>
      <x:c r="C321" t="str">
        <x:v>Meals</x:v>
      </x:c>
      <x:c r="D321" t="str">
        <x:v>Meals vendor 3</x:v>
      </x:c>
      <x:c r="E321" s="8" t="n">
        <x:v>453</x:v>
      </x:c>
    </x:row>
    <x:row r="322">
      <x:c r="A322" t="str">
        <x:v>EXP00343</x:v>
      </x:c>
      <x:c r="B322" s="6" t="d">
        <x:v>2025-06-12T00:00:00.000Z</x:v>
      </x:c>
      <x:c r="C322" t="str">
        <x:v>Office supplies</x:v>
      </x:c>
      <x:c r="D322" t="str">
        <x:v>Office supplies vendor 1</x:v>
      </x:c>
      <x:c r="E322" s="8" t="n">
        <x:v>731</x:v>
      </x:c>
    </x:row>
    <x:row r="323">
      <x:c r="A323" t="str">
        <x:v>EXP00308</x:v>
      </x:c>
      <x:c r="B323" s="6" t="d">
        <x:v>2025-06-14T00:00:00.000Z</x:v>
      </x:c>
      <x:c r="C323" t="str">
        <x:v>Utilities</x:v>
      </x:c>
      <x:c r="D323" t="str">
        <x:v>Utilities vendor 1</x:v>
      </x:c>
      <x:c r="E323" s="8" t="n">
        <x:v>3980</x:v>
      </x:c>
    </x:row>
    <x:row r="324">
      <x:c r="A324" t="str">
        <x:v>EXP00315</x:v>
      </x:c>
      <x:c r="B324" s="6" t="d">
        <x:v>2025-06-14T00:00:00.000Z</x:v>
      </x:c>
      <x:c r="C324" t="str">
        <x:v>Software</x:v>
      </x:c>
      <x:c r="D324" t="str">
        <x:v>Software vendor 1</x:v>
      </x:c>
      <x:c r="E324" s="8" t="n">
        <x:v>3115</x:v>
      </x:c>
    </x:row>
    <x:row r="325">
      <x:c r="A325" t="str">
        <x:v>EXP00350</x:v>
      </x:c>
      <x:c r="B325" s="6" t="d">
        <x:v>2025-06-14T00:00:00.000Z</x:v>
      </x:c>
      <x:c r="C325" t="str">
        <x:v>Office supplies</x:v>
      </x:c>
      <x:c r="D325" t="str">
        <x:v>Office supplies vendor 2</x:v>
      </x:c>
      <x:c r="E325" s="8" t="n">
        <x:v>524</x:v>
      </x:c>
    </x:row>
    <x:row r="326">
      <x:c r="A326" t="str">
        <x:v>EXP00304</x:v>
      </x:c>
      <x:c r="B326" s="6" t="d">
        <x:v>2025-06-15T00:00:00.000Z</x:v>
      </x:c>
      <x:c r="C326" t="str">
        <x:v>Salaries</x:v>
      </x:c>
      <x:c r="D326" t="str">
        <x:v>Salaries vendor 3</x:v>
      </x:c>
      <x:c r="E326" s="8" t="n">
        <x:v>18657</x:v>
      </x:c>
    </x:row>
    <x:row r="327">
      <x:c r="A327" t="str">
        <x:v>EXP00311</x:v>
      </x:c>
      <x:c r="B327" s="6" t="d">
        <x:v>2025-06-15T00:00:00.000Z</x:v>
      </x:c>
      <x:c r="C327" t="str">
        <x:v>Utilities</x:v>
      </x:c>
      <x:c r="D327" t="str">
        <x:v>Utilities vendor 1</x:v>
      </x:c>
      <x:c r="E327" s="8" t="n">
        <x:v>1653</x:v>
      </x:c>
    </x:row>
    <x:row r="328">
      <x:c r="A328" t="str">
        <x:v>EXP00347</x:v>
      </x:c>
      <x:c r="B328" s="6" t="d">
        <x:v>2025-06-15T00:00:00.000Z</x:v>
      </x:c>
      <x:c r="C328" t="str">
        <x:v>Office supplies</x:v>
      </x:c>
      <x:c r="D328" t="str">
        <x:v>Office supplies vendor 2</x:v>
      </x:c>
      <x:c r="E328" s="8" t="n">
        <x:v>726</x:v>
      </x:c>
    </x:row>
    <x:row r="329">
      <x:c r="A329" t="str">
        <x:v>EXP00355</x:v>
      </x:c>
      <x:c r="B329" s="6" t="d">
        <x:v>2025-06-15T00:00:00.000Z</x:v>
      </x:c>
      <x:c r="C329" t="str">
        <x:v>Marketing</x:v>
      </x:c>
      <x:c r="D329" t="str">
        <x:v>Marketing vendor 2</x:v>
      </x:c>
      <x:c r="E329" s="8" t="n">
        <x:v>2427</x:v>
      </x:c>
    </x:row>
    <x:row r="330">
      <x:c r="A330" t="str">
        <x:v>EXP00358</x:v>
      </x:c>
      <x:c r="B330" s="6" t="d">
        <x:v>2025-06-15T00:00:00.000Z</x:v>
      </x:c>
      <x:c r="C330" t="str">
        <x:v>Marketing</x:v>
      </x:c>
      <x:c r="D330" t="str">
        <x:v>Marketing vendor 2</x:v>
      </x:c>
      <x:c r="E330" s="8" t="n">
        <x:v>2080</x:v>
      </x:c>
    </x:row>
    <x:row r="331">
      <x:c r="A331" t="str">
        <x:v>EXP00301</x:v>
      </x:c>
      <x:c r="B331" s="6" t="d">
        <x:v>2025-06-16T00:00:00.000Z</x:v>
      </x:c>
      <x:c r="C331" t="str">
        <x:v>Rent</x:v>
      </x:c>
      <x:c r="D331" t="str">
        <x:v>Rent vendor 1</x:v>
      </x:c>
      <x:c r="E331" s="8" t="n">
        <x:v>40000</x:v>
      </x:c>
    </x:row>
    <x:row r="332">
      <x:c r="A332" t="str">
        <x:v>EXP00323</x:v>
      </x:c>
      <x:c r="B332" s="6" t="d">
        <x:v>2025-06-16T00:00:00.000Z</x:v>
      </x:c>
      <x:c r="C332" t="str">
        <x:v>Travel</x:v>
      </x:c>
      <x:c r="D332" t="str">
        <x:v>Travel vendor 1</x:v>
      </x:c>
      <x:c r="E332" s="8" t="n">
        <x:v>5470</x:v>
      </x:c>
    </x:row>
    <x:row r="333">
      <x:c r="A333" t="str">
        <x:v>EXP00326</x:v>
      </x:c>
      <x:c r="B333" s="6" t="d">
        <x:v>2025-06-19T00:00:00.000Z</x:v>
      </x:c>
      <x:c r="C333" t="str">
        <x:v>Travel</x:v>
      </x:c>
      <x:c r="D333" t="str">
        <x:v>Travel vendor 1</x:v>
      </x:c>
      <x:c r="E333" s="8" t="n">
        <x:v>2805</x:v>
      </x:c>
    </x:row>
    <x:row r="334">
      <x:c r="A334" t="str">
        <x:v>EXP00327</x:v>
      </x:c>
      <x:c r="B334" s="6" t="d">
        <x:v>2025-06-19T00:00:00.000Z</x:v>
      </x:c>
      <x:c r="C334" t="str">
        <x:v>Meals</x:v>
      </x:c>
      <x:c r="D334" t="str">
        <x:v>Meals vendor 1</x:v>
      </x:c>
      <x:c r="E334" s="8" t="n">
        <x:v>539</x:v>
      </x:c>
    </x:row>
    <x:row r="335">
      <x:c r="A335" t="str">
        <x:v>EXP00342</x:v>
      </x:c>
      <x:c r="B335" s="6" t="d">
        <x:v>2025-06-19T00:00:00.000Z</x:v>
      </x:c>
      <x:c r="C335" t="str">
        <x:v>Meals</x:v>
      </x:c>
      <x:c r="D335" t="str">
        <x:v>Meals vendor 1</x:v>
      </x:c>
      <x:c r="E335" s="8" t="n">
        <x:v>391</x:v>
      </x:c>
    </x:row>
    <x:row r="336">
      <x:c r="A336" t="str">
        <x:v>EXP00359</x:v>
      </x:c>
      <x:c r="B336" s="6" t="d">
        <x:v>2025-06-19T00:00:00.000Z</x:v>
      </x:c>
      <x:c r="C336" t="str">
        <x:v>Marketing</x:v>
      </x:c>
      <x:c r="D336" t="str">
        <x:v>Marketing vendor 3</x:v>
      </x:c>
      <x:c r="E336" s="8" t="n">
        <x:v>1566</x:v>
      </x:c>
    </x:row>
    <x:row r="337">
      <x:c r="A337" t="str">
        <x:v>EXP00307</x:v>
      </x:c>
      <x:c r="B337" s="6" t="d">
        <x:v>2025-06-20T00:00:00.000Z</x:v>
      </x:c>
      <x:c r="C337" t="str">
        <x:v>Salaries</x:v>
      </x:c>
      <x:c r="D337" t="str">
        <x:v>Salaries vendor 3</x:v>
      </x:c>
      <x:c r="E337" s="8" t="n">
        <x:v>31894</x:v>
      </x:c>
    </x:row>
    <x:row r="338">
      <x:c r="A338" t="str">
        <x:v>EXP00319</x:v>
      </x:c>
      <x:c r="B338" s="6" t="d">
        <x:v>2025-06-20T00:00:00.000Z</x:v>
      </x:c>
      <x:c r="C338" t="str">
        <x:v>Travel</x:v>
      </x:c>
      <x:c r="D338" t="str">
        <x:v>Travel vendor 3</x:v>
      </x:c>
      <x:c r="E338" s="8" t="n">
        <x:v>2072</x:v>
      </x:c>
    </x:row>
    <x:row r="339">
      <x:c r="A339" t="str">
        <x:v>EXP00338</x:v>
      </x:c>
      <x:c r="B339" s="6" t="d">
        <x:v>2025-06-20T00:00:00.000Z</x:v>
      </x:c>
      <x:c r="C339" t="str">
        <x:v>Meals</x:v>
      </x:c>
      <x:c r="D339" t="str">
        <x:v>Meals vendor 3</x:v>
      </x:c>
      <x:c r="E339" s="8" t="n">
        <x:v>600</x:v>
      </x:c>
    </x:row>
    <x:row r="340">
      <x:c r="A340" t="str">
        <x:v>EXP00360</x:v>
      </x:c>
      <x:c r="B340" s="6" t="d">
        <x:v>2025-06-20T00:00:00.000Z</x:v>
      </x:c>
      <x:c r="C340" t="str">
        <x:v>Marketing</x:v>
      </x:c>
      <x:c r="D340" t="str">
        <x:v>Marketing vendor 1</x:v>
      </x:c>
      <x:c r="E340" s="8" t="n">
        <x:v>1420</x:v>
      </x:c>
    </x:row>
    <x:row r="341">
      <x:c r="A341" t="str">
        <x:v>EXP00330</x:v>
      </x:c>
      <x:c r="B341" s="6" t="d">
        <x:v>2025-06-21T00:00:00.000Z</x:v>
      </x:c>
      <x:c r="C341" t="str">
        <x:v>Meals</x:v>
      </x:c>
      <x:c r="D341" t="str">
        <x:v>Meals vendor 1</x:v>
      </x:c>
      <x:c r="E341" s="8" t="n">
        <x:v>617</x:v>
      </x:c>
    </x:row>
    <x:row r="342">
      <x:c r="A342" t="str">
        <x:v>EXP00344</x:v>
      </x:c>
      <x:c r="B342" s="6" t="d">
        <x:v>2025-06-21T00:00:00.000Z</x:v>
      </x:c>
      <x:c r="C342" t="str">
        <x:v>Office supplies</x:v>
      </x:c>
      <x:c r="D342" t="str">
        <x:v>Office supplies vendor 2</x:v>
      </x:c>
      <x:c r="E342" s="8" t="n">
        <x:v>801</x:v>
      </x:c>
    </x:row>
    <x:row r="343">
      <x:c r="A343" t="str">
        <x:v>EXP00324</x:v>
      </x:c>
      <x:c r="B343" s="6" t="d">
        <x:v>2025-06-22T00:00:00.000Z</x:v>
      </x:c>
      <x:c r="C343" t="str">
        <x:v>Travel</x:v>
      </x:c>
      <x:c r="D343" t="str">
        <x:v>Travel vendor 2</x:v>
      </x:c>
      <x:c r="E343" s="8" t="n">
        <x:v>2028</x:v>
      </x:c>
    </x:row>
    <x:row r="344">
      <x:c r="A344" t="str">
        <x:v>EXP00337</x:v>
      </x:c>
      <x:c r="B344" s="6" t="d">
        <x:v>2025-06-22T00:00:00.000Z</x:v>
      </x:c>
      <x:c r="C344" t="str">
        <x:v>Meals</x:v>
      </x:c>
      <x:c r="D344" t="str">
        <x:v>Meals vendor 2</x:v>
      </x:c>
      <x:c r="E344" s="8" t="n">
        <x:v>797</x:v>
      </x:c>
    </x:row>
    <x:row r="345">
      <x:c r="A345" t="str">
        <x:v>EXP00328</x:v>
      </x:c>
      <x:c r="B345" s="6" t="d">
        <x:v>2025-06-23T00:00:00.000Z</x:v>
      </x:c>
      <x:c r="C345" t="str">
        <x:v>Meals</x:v>
      </x:c>
      <x:c r="D345" t="str">
        <x:v>Meals vendor 2</x:v>
      </x:c>
      <x:c r="E345" s="8" t="n">
        <x:v>422</x:v>
      </x:c>
    </x:row>
    <x:row r="346">
      <x:c r="A346" t="str">
        <x:v>EXP00333</x:v>
      </x:c>
      <x:c r="B346" s="6" t="d">
        <x:v>2025-06-23T00:00:00.000Z</x:v>
      </x:c>
      <x:c r="C346" t="str">
        <x:v>Meals</x:v>
      </x:c>
      <x:c r="D346" t="str">
        <x:v>Meals vendor 1</x:v>
      </x:c>
      <x:c r="E346" s="8" t="n">
        <x:v>713</x:v>
      </x:c>
    </x:row>
    <x:row r="347">
      <x:c r="A347" t="str">
        <x:v>EXP00348</x:v>
      </x:c>
      <x:c r="B347" s="6" t="d">
        <x:v>2025-06-23T00:00:00.000Z</x:v>
      </x:c>
      <x:c r="C347" t="str">
        <x:v>Office supplies</x:v>
      </x:c>
      <x:c r="D347" t="str">
        <x:v>Office supplies vendor 3</x:v>
      </x:c>
      <x:c r="E347" s="8" t="n">
        <x:v>1165</x:v>
      </x:c>
    </x:row>
    <x:row r="348">
      <x:c r="A348" t="str">
        <x:v>EXP00313</x:v>
      </x:c>
      <x:c r="B348" s="6" t="d">
        <x:v>2025-06-25T00:00:00.000Z</x:v>
      </x:c>
      <x:c r="C348" t="str">
        <x:v>Software</x:v>
      </x:c>
      <x:c r="D348" t="str">
        <x:v>Software vendor 2</x:v>
      </x:c>
      <x:c r="E348" s="8" t="n">
        <x:v>3077</x:v>
      </x:c>
    </x:row>
    <x:row r="349">
      <x:c r="A349" t="str">
        <x:v>EXP00334</x:v>
      </x:c>
      <x:c r="B349" s="6" t="d">
        <x:v>2025-06-25T00:00:00.000Z</x:v>
      </x:c>
      <x:c r="C349" t="str">
        <x:v>Meals</x:v>
      </x:c>
      <x:c r="D349" t="str">
        <x:v>Meals vendor 2</x:v>
      </x:c>
      <x:c r="E349" s="8" t="n">
        <x:v>370</x:v>
      </x:c>
    </x:row>
    <x:row r="350">
      <x:c r="A350" t="str">
        <x:v>EXP00357</x:v>
      </x:c>
      <x:c r="B350" s="6" t="d">
        <x:v>2025-06-25T00:00:00.000Z</x:v>
      </x:c>
      <x:c r="C350" t="str">
        <x:v>Marketing</x:v>
      </x:c>
      <x:c r="D350" t="str">
        <x:v>Marketing vendor 1</x:v>
      </x:c>
      <x:c r="E350" s="8" t="n">
        <x:v>2525</x:v>
      </x:c>
    </x:row>
    <x:row r="351">
      <x:c r="A351" t="str">
        <x:v>EXP00339</x:v>
      </x:c>
      <x:c r="B351" s="6" t="d">
        <x:v>2025-06-26T00:00:00.000Z</x:v>
      </x:c>
      <x:c r="C351" t="str">
        <x:v>Meals</x:v>
      </x:c>
      <x:c r="D351" t="str">
        <x:v>Meals vendor 1</x:v>
      </x:c>
      <x:c r="E351" s="8" t="n">
        <x:v>786</x:v>
      </x:c>
    </x:row>
    <x:row r="352">
      <x:c r="A352" t="str">
        <x:v>EXP00341</x:v>
      </x:c>
      <x:c r="B352" s="6" t="d">
        <x:v>2025-06-26T00:00:00.000Z</x:v>
      </x:c>
      <x:c r="C352" t="str">
        <x:v>Meals</x:v>
      </x:c>
      <x:c r="D352" t="str">
        <x:v>Meals vendor 3</x:v>
      </x:c>
      <x:c r="E352" s="8" t="n">
        <x:v>804</x:v>
      </x:c>
    </x:row>
    <x:row r="353">
      <x:c r="A353" t="str">
        <x:v>EXP00303</x:v>
      </x:c>
      <x:c r="B353" s="6" t="d">
        <x:v>2025-06-27T00:00:00.000Z</x:v>
      </x:c>
      <x:c r="C353" t="str">
        <x:v>Salaries</x:v>
      </x:c>
      <x:c r="D353" t="str">
        <x:v>Salaries vendor 2</x:v>
      </x:c>
      <x:c r="E353" s="8" t="n">
        <x:v>33004</x:v>
      </x:c>
    </x:row>
    <x:row r="354">
      <x:c r="A354" t="str">
        <x:v>EXP00314</x:v>
      </x:c>
      <x:c r="B354" s="6" t="d">
        <x:v>2025-06-27T00:00:00.000Z</x:v>
      </x:c>
      <x:c r="C354" t="str">
        <x:v>Software</x:v>
      </x:c>
      <x:c r="D354" t="str">
        <x:v>Software vendor 3</x:v>
      </x:c>
      <x:c r="E354" s="8" t="n">
        <x:v>3551</x:v>
      </x:c>
    </x:row>
    <x:row r="355">
      <x:c r="A355" t="str">
        <x:v>EXP00317</x:v>
      </x:c>
      <x:c r="B355" s="6" t="d">
        <x:v>2025-06-27T00:00:00.000Z</x:v>
      </x:c>
      <x:c r="C355" t="str">
        <x:v>Travel</x:v>
      </x:c>
      <x:c r="D355" t="str">
        <x:v>Travel vendor 1</x:v>
      </x:c>
      <x:c r="E355" s="8" t="n">
        <x:v>3642</x:v>
      </x:c>
    </x:row>
    <x:row r="356">
      <x:c r="A356" t="str">
        <x:v>EXP00329</x:v>
      </x:c>
      <x:c r="B356" s="6" t="d">
        <x:v>2025-06-27T00:00:00.000Z</x:v>
      </x:c>
      <x:c r="C356" t="str">
        <x:v>Meals</x:v>
      </x:c>
      <x:c r="D356" t="str">
        <x:v>Meals vendor 3</x:v>
      </x:c>
      <x:c r="E356" s="8" t="n">
        <x:v>485</x:v>
      </x:c>
    </x:row>
    <x:row r="357">
      <x:c r="A357" t="str">
        <x:v>EXP00346</x:v>
      </x:c>
      <x:c r="B357" s="6" t="d">
        <x:v>2025-06-27T00:00:00.000Z</x:v>
      </x:c>
      <x:c r="C357" t="str">
        <x:v>Office supplies</x:v>
      </x:c>
      <x:c r="D357" t="str">
        <x:v>Office supplies vendor 1</x:v>
      </x:c>
      <x:c r="E357" s="8" t="n">
        <x:v>868</x:v>
      </x:c>
    </x:row>
    <x:row r="358">
      <x:c r="A358" t="str">
        <x:v>EXP00310</x:v>
      </x:c>
      <x:c r="B358" s="6" t="d">
        <x:v>2025-06-28T00:00:00.000Z</x:v>
      </x:c>
      <x:c r="C358" t="str">
        <x:v>Utilities</x:v>
      </x:c>
      <x:c r="D358" t="str">
        <x:v>Utilities vendor 3</x:v>
      </x:c>
      <x:c r="E358" s="8" t="n">
        <x:v>3290</x:v>
      </x:c>
    </x:row>
    <x:row r="359">
      <x:c r="A359" t="str">
        <x:v>EXP00336</x:v>
      </x:c>
      <x:c r="B359" s="6" t="d">
        <x:v>2025-06-28T00:00:00.000Z</x:v>
      </x:c>
      <x:c r="C359" t="str">
        <x:v>Meals</x:v>
      </x:c>
      <x:c r="D359" t="str">
        <x:v>Meals vendor 1</x:v>
      </x:c>
      <x:c r="E359" s="8" t="n">
        <x:v>602</x:v>
      </x:c>
    </x:row>
    <x:row r="360">
      <x:c r="A360" t="str">
        <x:v>EXP00345</x:v>
      </x:c>
      <x:c r="B360" s="6" t="d">
        <x:v>2025-06-29T00:00:00.000Z</x:v>
      </x:c>
      <x:c r="C360" t="str">
        <x:v>Office supplies</x:v>
      </x:c>
      <x:c r="D360" t="str">
        <x:v>Office supplies vendor 3</x:v>
      </x:c>
      <x:c r="E360" s="8" t="n">
        <x:v>751</x:v>
      </x:c>
    </x:row>
    <x:row r="361">
      <x:c r="A361" t="str">
        <x:v>EXP00354</x:v>
      </x:c>
      <x:c r="B361" s="6" t="d">
        <x:v>2025-06-29T00:00:00.000Z</x:v>
      </x:c>
      <x:c r="C361" t="str">
        <x:v>Marketing</x:v>
      </x:c>
      <x:c r="D361" t="str">
        <x:v>Marketing vendor 1</x:v>
      </x:c>
      <x:c r="E361" s="8" t="n">
        <x:v>2703</x:v>
      </x:c>
    </x:row>
    <x:row r="362">
      <x:c r="A362" t="str">
        <x:v>EXP00305</x:v>
      </x:c>
      <x:c r="B362" s="6" t="d">
        <x:v>2025-06-30T00:00:00.000Z</x:v>
      </x:c>
      <x:c r="C362" t="str">
        <x:v>Salaries</x:v>
      </x:c>
      <x:c r="D362" t="str">
        <x:v>Salaries vendor 1</x:v>
      </x:c>
      <x:c r="E362" s="8" t="n">
        <x:v>29488</x:v>
      </x:c>
    </x:row>
    <x:row r="363">
      <x:c r="A363" t="str">
        <x:v>EXP00351</x:v>
      </x:c>
      <x:c r="B363" s="6" t="d">
        <x:v>2025-06-30T00:00:00.000Z</x:v>
      </x:c>
      <x:c r="C363" t="str">
        <x:v>Marketing</x:v>
      </x:c>
      <x:c r="D363" t="str">
        <x:v>Marketing vendor 1</x:v>
      </x:c>
      <x:c r="E363" s="8" t="n">
        <x:v>1946</x:v>
      </x:c>
    </x:row>
    <x:row r="364">
      <x:c r="A364" t="str">
        <x:v>EXP00387</x:v>
      </x:c>
      <x:c r="B364" s="6" t="d">
        <x:v>2025-07-01T00:00:00.000Z</x:v>
      </x:c>
      <x:c r="C364" t="str">
        <x:v>Meals</x:v>
      </x:c>
      <x:c r="D364" t="str">
        <x:v>Meals vendor 1</x:v>
      </x:c>
      <x:c r="E364" s="8" t="n">
        <x:v>656</x:v>
      </x:c>
    </x:row>
    <x:row r="365">
      <x:c r="A365" t="str">
        <x:v>EXP00396</x:v>
      </x:c>
      <x:c r="B365" s="6" t="d">
        <x:v>2025-07-02T00:00:00.000Z</x:v>
      </x:c>
      <x:c r="C365" t="str">
        <x:v>Meals</x:v>
      </x:c>
      <x:c r="D365" t="str">
        <x:v>Meals vendor 1</x:v>
      </x:c>
      <x:c r="E365" s="8" t="n">
        <x:v>284</x:v>
      </x:c>
    </x:row>
    <x:row r="366">
      <x:c r="A366" t="str">
        <x:v>EXP00415</x:v>
      </x:c>
      <x:c r="B366" s="6" t="d">
        <x:v>2025-07-03T00:00:00.000Z</x:v>
      </x:c>
      <x:c r="C366" t="str">
        <x:v>Marketing</x:v>
      </x:c>
      <x:c r="D366" t="str">
        <x:v>Marketing vendor 2</x:v>
      </x:c>
      <x:c r="E366" s="8" t="n">
        <x:v>2574</x:v>
      </x:c>
    </x:row>
    <x:row r="367">
      <x:c r="A367" t="str">
        <x:v>EXP00420</x:v>
      </x:c>
      <x:c r="B367" s="6" t="d">
        <x:v>2025-07-03T00:00:00.000Z</x:v>
      </x:c>
      <x:c r="C367" t="str">
        <x:v>Marketing</x:v>
      </x:c>
      <x:c r="D367" t="str">
        <x:v>Marketing vendor 1</x:v>
      </x:c>
      <x:c r="E367" s="8" t="n">
        <x:v>3499</x:v>
      </x:c>
    </x:row>
    <x:row r="368">
      <x:c r="A368" t="str">
        <x:v>EXP00401</x:v>
      </x:c>
      <x:c r="B368" s="6" t="d">
        <x:v>2025-07-04T00:00:00.000Z</x:v>
      </x:c>
      <x:c r="C368" t="str">
        <x:v>Meals</x:v>
      </x:c>
      <x:c r="D368" t="str">
        <x:v>Meals vendor 3</x:v>
      </x:c>
      <x:c r="E368" s="8" t="n">
        <x:v>652</x:v>
      </x:c>
    </x:row>
    <x:row r="369">
      <x:c r="A369" t="str">
        <x:v>EXP00380</x:v>
      </x:c>
      <x:c r="B369" s="6" t="d">
        <x:v>2025-07-06T00:00:00.000Z</x:v>
      </x:c>
      <x:c r="C369" t="str">
        <x:v>Travel</x:v>
      </x:c>
      <x:c r="D369" t="str">
        <x:v>Travel vendor 1</x:v>
      </x:c>
      <x:c r="E369" s="8" t="n">
        <x:v>1719</x:v>
      </x:c>
    </x:row>
    <x:row r="370">
      <x:c r="A370" t="str">
        <x:v>EXP00394</x:v>
      </x:c>
      <x:c r="B370" s="6" t="d">
        <x:v>2025-07-06T00:00:00.000Z</x:v>
      </x:c>
      <x:c r="C370" t="str">
        <x:v>Meals</x:v>
      </x:c>
      <x:c r="D370" t="str">
        <x:v>Meals vendor 2</x:v>
      </x:c>
      <x:c r="E370" s="8" t="n">
        <x:v>628</x:v>
      </x:c>
    </x:row>
    <x:row r="371">
      <x:c r="A371" t="str">
        <x:v>EXP00416</x:v>
      </x:c>
      <x:c r="B371" s="6" t="d">
        <x:v>2025-07-06T00:00:00.000Z</x:v>
      </x:c>
      <x:c r="C371" t="str">
        <x:v>Marketing</x:v>
      </x:c>
      <x:c r="D371" t="str">
        <x:v>Marketing vendor 3</x:v>
      </x:c>
      <x:c r="E371" s="8" t="n">
        <x:v>2961</x:v>
      </x:c>
    </x:row>
    <x:row r="372">
      <x:c r="A372" t="str">
        <x:v>EXP00418</x:v>
      </x:c>
      <x:c r="B372" s="6" t="d">
        <x:v>2025-07-06T00:00:00.000Z</x:v>
      </x:c>
      <x:c r="C372" t="str">
        <x:v>Marketing</x:v>
      </x:c>
      <x:c r="D372" t="str">
        <x:v>Marketing vendor 2</x:v>
      </x:c>
      <x:c r="E372" s="8" t="n">
        <x:v>4046</x:v>
      </x:c>
    </x:row>
    <x:row r="373">
      <x:c r="A373" t="str">
        <x:v>EXP00381</x:v>
      </x:c>
      <x:c r="B373" s="6" t="d">
        <x:v>2025-07-07T00:00:00.000Z</x:v>
      </x:c>
      <x:c r="C373" t="str">
        <x:v>Travel</x:v>
      </x:c>
      <x:c r="D373" t="str">
        <x:v>Travel vendor 2</x:v>
      </x:c>
      <x:c r="E373" s="8" t="n">
        <x:v>1924</x:v>
      </x:c>
    </x:row>
    <x:row r="374">
      <x:c r="A374" t="str">
        <x:v>EXP00382</x:v>
      </x:c>
      <x:c r="B374" s="6" t="d">
        <x:v>2025-07-07T00:00:00.000Z</x:v>
      </x:c>
      <x:c r="C374" t="str">
        <x:v>Travel</x:v>
      </x:c>
      <x:c r="D374" t="str">
        <x:v>Travel vendor 3</x:v>
      </x:c>
      <x:c r="E374" s="8" t="n">
        <x:v>1627</x:v>
      </x:c>
    </x:row>
    <x:row r="375">
      <x:c r="A375" t="str">
        <x:v>EXP00412</x:v>
      </x:c>
      <x:c r="B375" s="6" t="d">
        <x:v>2025-07-07T00:00:00.000Z</x:v>
      </x:c>
      <x:c r="C375" t="str">
        <x:v>Marketing</x:v>
      </x:c>
      <x:c r="D375" t="str">
        <x:v>Marketing vendor 2</x:v>
      </x:c>
      <x:c r="E375" s="8" t="n">
        <x:v>3903</x:v>
      </x:c>
    </x:row>
    <x:row r="376">
      <x:c r="A376" t="str">
        <x:v>EXP00369</x:v>
      </x:c>
      <x:c r="B376" s="6" t="d">
        <x:v>2025-07-08T00:00:00.000Z</x:v>
      </x:c>
      <x:c r="C376" t="str">
        <x:v>Utilities</x:v>
      </x:c>
      <x:c r="D376" t="str">
        <x:v>Utilities vendor 2</x:v>
      </x:c>
      <x:c r="E376" s="8" t="n">
        <x:v>1250</x:v>
      </x:c>
    </x:row>
    <x:row r="377">
      <x:c r="A377" t="str">
        <x:v>EXP00410</x:v>
      </x:c>
      <x:c r="B377" s="6" t="d">
        <x:v>2025-07-08T00:00:00.000Z</x:v>
      </x:c>
      <x:c r="C377" t="str">
        <x:v>Office supplies</x:v>
      </x:c>
      <x:c r="D377" t="str">
        <x:v>Office supplies vendor 2</x:v>
      </x:c>
      <x:c r="E377" s="8" t="n">
        <x:v>436</x:v>
      </x:c>
    </x:row>
    <x:row r="378">
      <x:c r="A378" t="str">
        <x:v>EXP00417</x:v>
      </x:c>
      <x:c r="B378" s="6" t="d">
        <x:v>2025-07-08T00:00:00.000Z</x:v>
      </x:c>
      <x:c r="C378" t="str">
        <x:v>Marketing</x:v>
      </x:c>
      <x:c r="D378" t="str">
        <x:v>Marketing vendor 1</x:v>
      </x:c>
      <x:c r="E378" s="8" t="n">
        <x:v>1553</x:v>
      </x:c>
    </x:row>
    <x:row r="379">
      <x:c r="A379" t="str">
        <x:v>EXP00366</x:v>
      </x:c>
      <x:c r="B379" s="6" t="d">
        <x:v>2025-07-09T00:00:00.000Z</x:v>
      </x:c>
      <x:c r="C379" t="str">
        <x:v>Salaries</x:v>
      </x:c>
      <x:c r="D379" t="str">
        <x:v>Salaries vendor 2</x:v>
      </x:c>
      <x:c r="E379" s="8" t="n">
        <x:v>43167</x:v>
      </x:c>
    </x:row>
    <x:row r="380">
      <x:c r="A380" t="str">
        <x:v>EXP00385</x:v>
      </x:c>
      <x:c r="B380" s="6" t="d">
        <x:v>2025-07-09T00:00:00.000Z</x:v>
      </x:c>
      <x:c r="C380" t="str">
        <x:v>Travel</x:v>
      </x:c>
      <x:c r="D380" t="str">
        <x:v>Travel vendor 3</x:v>
      </x:c>
      <x:c r="E380" s="8" t="n">
        <x:v>1645</x:v>
      </x:c>
    </x:row>
    <x:row r="381">
      <x:c r="A381" t="str">
        <x:v>EXP00397</x:v>
      </x:c>
      <x:c r="B381" s="6" t="d">
        <x:v>2025-07-09T00:00:00.000Z</x:v>
      </x:c>
      <x:c r="C381" t="str">
        <x:v>Meals</x:v>
      </x:c>
      <x:c r="D381" t="str">
        <x:v>Meals vendor 2</x:v>
      </x:c>
      <x:c r="E381" s="8" t="n">
        <x:v>289</x:v>
      </x:c>
    </x:row>
    <x:row r="382">
      <x:c r="A382" t="str">
        <x:v>EXP00413</x:v>
      </x:c>
      <x:c r="B382" s="6" t="d">
        <x:v>2025-07-09T00:00:00.000Z</x:v>
      </x:c>
      <x:c r="C382" t="str">
        <x:v>Marketing</x:v>
      </x:c>
      <x:c r="D382" t="str">
        <x:v>Marketing vendor 3</x:v>
      </x:c>
      <x:c r="E382" s="8" t="n">
        <x:v>2210</x:v>
      </x:c>
    </x:row>
    <x:row r="383">
      <x:c r="A383" t="str">
        <x:v>EXP00372</x:v>
      </x:c>
      <x:c r="B383" s="6" t="d">
        <x:v>2025-07-10T00:00:00.000Z</x:v>
      </x:c>
      <x:c r="C383" t="str">
        <x:v>Software</x:v>
      </x:c>
      <x:c r="D383" t="str">
        <x:v>Software vendor 1</x:v>
      </x:c>
      <x:c r="E383" s="8" t="n">
        <x:v>3661</x:v>
      </x:c>
    </x:row>
    <x:row r="384">
      <x:c r="A384" t="str">
        <x:v>EXP00389</x:v>
      </x:c>
      <x:c r="B384" s="6" t="d">
        <x:v>2025-07-10T00:00:00.000Z</x:v>
      </x:c>
      <x:c r="C384" t="str">
        <x:v>Meals</x:v>
      </x:c>
      <x:c r="D384" t="str">
        <x:v>Meals vendor 3</x:v>
      </x:c>
      <x:c r="E384" s="8" t="n">
        <x:v>770</x:v>
      </x:c>
    </x:row>
    <x:row r="385">
      <x:c r="A385" t="str">
        <x:v>EXP00361</x:v>
      </x:c>
      <x:c r="B385" s="6" t="d">
        <x:v>2025-07-11T00:00:00.000Z</x:v>
      </x:c>
      <x:c r="C385" t="str">
        <x:v>Rent</x:v>
      </x:c>
      <x:c r="D385" t="str">
        <x:v>Rent vendor 1</x:v>
      </x:c>
      <x:c r="E385" s="8" t="n">
        <x:v>40000</x:v>
      </x:c>
    </x:row>
    <x:row r="386">
      <x:c r="A386" t="str">
        <x:v>EXP00393</x:v>
      </x:c>
      <x:c r="B386" s="6" t="d">
        <x:v>2025-07-11T00:00:00.000Z</x:v>
      </x:c>
      <x:c r="C386" t="str">
        <x:v>Meals</x:v>
      </x:c>
      <x:c r="D386" t="str">
        <x:v>Meals vendor 1</x:v>
      </x:c>
      <x:c r="E386" s="8" t="n">
        <x:v>417</x:v>
      </x:c>
    </x:row>
    <x:row r="387">
      <x:c r="A387" t="str">
        <x:v>EXP00375</x:v>
      </x:c>
      <x:c r="B387" s="6" t="d">
        <x:v>2025-07-12T00:00:00.000Z</x:v>
      </x:c>
      <x:c r="C387" t="str">
        <x:v>Software</x:v>
      </x:c>
      <x:c r="D387" t="str">
        <x:v>Software vendor 1</x:v>
      </x:c>
      <x:c r="E387" s="8" t="n">
        <x:v>2666</x:v>
      </x:c>
    </x:row>
    <x:row r="388">
      <x:c r="A388" t="str">
        <x:v>EXP00405</x:v>
      </x:c>
      <x:c r="B388" s="6" t="d">
        <x:v>2025-07-14T00:00:00.000Z</x:v>
      </x:c>
      <x:c r="C388" t="str">
        <x:v>Office supplies</x:v>
      </x:c>
      <x:c r="D388" t="str">
        <x:v>Office supplies vendor 3</x:v>
      </x:c>
      <x:c r="E388" s="8" t="n">
        <x:v>695</x:v>
      </x:c>
    </x:row>
    <x:row r="389">
      <x:c r="A389" t="str">
        <x:v>EXP00392</x:v>
      </x:c>
      <x:c r="B389" s="6" t="d">
        <x:v>2025-07-15T00:00:00.000Z</x:v>
      </x:c>
      <x:c r="C389" t="str">
        <x:v>Meals</x:v>
      </x:c>
      <x:c r="D389" t="str">
        <x:v>Meals vendor 3</x:v>
      </x:c>
      <x:c r="E389" s="8" t="n">
        <x:v>448</x:v>
      </x:c>
    </x:row>
    <x:row r="390">
      <x:c r="A390" t="str">
        <x:v>EXP00371</x:v>
      </x:c>
      <x:c r="B390" s="6" t="d">
        <x:v>2025-07-16T00:00:00.000Z</x:v>
      </x:c>
      <x:c r="C390" t="str">
        <x:v>Utilities</x:v>
      </x:c>
      <x:c r="D390" t="str">
        <x:v>Utilities vendor 1</x:v>
      </x:c>
      <x:c r="E390" s="8" t="n">
        <x:v>2111</x:v>
      </x:c>
    </x:row>
    <x:row r="391">
      <x:c r="A391" t="str">
        <x:v>EXP00376</x:v>
      </x:c>
      <x:c r="B391" s="6" t="d">
        <x:v>2025-07-16T00:00:00.000Z</x:v>
      </x:c>
      <x:c r="C391" t="str">
        <x:v>Software</x:v>
      </x:c>
      <x:c r="D391" t="str">
        <x:v>Software vendor 2</x:v>
      </x:c>
      <x:c r="E391" s="8" t="n">
        <x:v>4405</x:v>
      </x:c>
    </x:row>
    <x:row r="392">
      <x:c r="A392" t="str">
        <x:v>EXP00384</x:v>
      </x:c>
      <x:c r="B392" s="6" t="d">
        <x:v>2025-07-16T00:00:00.000Z</x:v>
      </x:c>
      <x:c r="C392" t="str">
        <x:v>Travel</x:v>
      </x:c>
      <x:c r="D392" t="str">
        <x:v>Travel vendor 2</x:v>
      </x:c>
      <x:c r="E392" s="8" t="n">
        <x:v>2464</x:v>
      </x:c>
    </x:row>
    <x:row r="393">
      <x:c r="A393" t="str">
        <x:v>EXP00390</x:v>
      </x:c>
      <x:c r="B393" s="6" t="d">
        <x:v>2025-07-16T00:00:00.000Z</x:v>
      </x:c>
      <x:c r="C393" t="str">
        <x:v>Meals</x:v>
      </x:c>
      <x:c r="D393" t="str">
        <x:v>Meals vendor 1</x:v>
      </x:c>
      <x:c r="E393" s="8" t="n">
        <x:v>693</x:v>
      </x:c>
    </x:row>
    <x:row r="394">
      <x:c r="A394" t="str">
        <x:v>EXP00391</x:v>
      </x:c>
      <x:c r="B394" s="6" t="d">
        <x:v>2025-07-16T00:00:00.000Z</x:v>
      </x:c>
      <x:c r="C394" t="str">
        <x:v>Meals</x:v>
      </x:c>
      <x:c r="D394" t="str">
        <x:v>Meals vendor 2</x:v>
      </x:c>
      <x:c r="E394" s="8" t="n">
        <x:v>414</x:v>
      </x:c>
    </x:row>
    <x:row r="395">
      <x:c r="A395" t="str">
        <x:v>EXP00400</x:v>
      </x:c>
      <x:c r="B395" s="6" t="d">
        <x:v>2025-07-16T00:00:00.000Z</x:v>
      </x:c>
      <x:c r="C395" t="str">
        <x:v>Meals</x:v>
      </x:c>
      <x:c r="D395" t="str">
        <x:v>Meals vendor 2</x:v>
      </x:c>
      <x:c r="E395" s="8" t="n">
        <x:v>592</x:v>
      </x:c>
    </x:row>
    <x:row r="396">
      <x:c r="A396" t="str">
        <x:v>EXP00367</x:v>
      </x:c>
      <x:c r="B396" s="6" t="d">
        <x:v>2025-07-18T00:00:00.000Z</x:v>
      </x:c>
      <x:c r="C396" t="str">
        <x:v>Salaries</x:v>
      </x:c>
      <x:c r="D396" t="str">
        <x:v>Salaries vendor 3</x:v>
      </x:c>
      <x:c r="E396" s="8" t="n">
        <x:v>27949</x:v>
      </x:c>
    </x:row>
    <x:row r="397">
      <x:c r="A397" t="str">
        <x:v>EXP00403</x:v>
      </x:c>
      <x:c r="B397" s="6" t="d">
        <x:v>2025-07-18T00:00:00.000Z</x:v>
      </x:c>
      <x:c r="C397" t="str">
        <x:v>Office supplies</x:v>
      </x:c>
      <x:c r="D397" t="str">
        <x:v>Office supplies vendor 1</x:v>
      </x:c>
      <x:c r="E397" s="8" t="n">
        <x:v>581</x:v>
      </x:c>
    </x:row>
    <x:row r="398">
      <x:c r="A398" t="str">
        <x:v>EXP00419</x:v>
      </x:c>
      <x:c r="B398" s="6" t="d">
        <x:v>2025-07-18T00:00:00.000Z</x:v>
      </x:c>
      <x:c r="C398" t="str">
        <x:v>Marketing</x:v>
      </x:c>
      <x:c r="D398" t="str">
        <x:v>Marketing vendor 3</x:v>
      </x:c>
      <x:c r="E398" s="8" t="n">
        <x:v>1661</x:v>
      </x:c>
    </x:row>
    <x:row r="399">
      <x:c r="A399" t="str">
        <x:v>EXP00374</x:v>
      </x:c>
      <x:c r="B399" s="6" t="d">
        <x:v>2025-07-19T00:00:00.000Z</x:v>
      </x:c>
      <x:c r="C399" t="str">
        <x:v>Software</x:v>
      </x:c>
      <x:c r="D399" t="str">
        <x:v>Software vendor 3</x:v>
      </x:c>
      <x:c r="E399" s="8" t="n">
        <x:v>2191</x:v>
      </x:c>
    </x:row>
    <x:row r="400">
      <x:c r="A400" t="str">
        <x:v>EXP00388</x:v>
      </x:c>
      <x:c r="B400" s="6" t="d">
        <x:v>2025-07-19T00:00:00.000Z</x:v>
      </x:c>
      <x:c r="C400" t="str">
        <x:v>Meals</x:v>
      </x:c>
      <x:c r="D400" t="str">
        <x:v>Meals vendor 2</x:v>
      </x:c>
      <x:c r="E400" s="8" t="n">
        <x:v>571</x:v>
      </x:c>
    </x:row>
    <x:row r="401">
      <x:c r="A401" t="str">
        <x:v>EXP00363</x:v>
      </x:c>
      <x:c r="B401" s="6" t="d">
        <x:v>2025-07-20T00:00:00.000Z</x:v>
      </x:c>
      <x:c r="C401" t="str">
        <x:v>Salaries</x:v>
      </x:c>
      <x:c r="D401" t="str">
        <x:v>Salaries vendor 2</x:v>
      </x:c>
      <x:c r="E401" s="8" t="n">
        <x:v>44934</x:v>
      </x:c>
    </x:row>
    <x:row r="402">
      <x:c r="A402" t="str">
        <x:v>EXP00406</x:v>
      </x:c>
      <x:c r="B402" s="6" t="d">
        <x:v>2025-07-20T00:00:00.000Z</x:v>
      </x:c>
      <x:c r="C402" t="str">
        <x:v>Office supplies</x:v>
      </x:c>
      <x:c r="D402" t="str">
        <x:v>Office supplies vendor 1</x:v>
      </x:c>
      <x:c r="E402" s="8" t="n">
        <x:v>382</x:v>
      </x:c>
    </x:row>
    <x:row r="403">
      <x:c r="A403" t="str">
        <x:v>EXP00407</x:v>
      </x:c>
      <x:c r="B403" s="6" t="d">
        <x:v>2025-07-20T00:00:00.000Z</x:v>
      </x:c>
      <x:c r="C403" t="str">
        <x:v>Office supplies</x:v>
      </x:c>
      <x:c r="D403" t="str">
        <x:v>Office supplies vendor 2</x:v>
      </x:c>
      <x:c r="E403" s="8" t="n">
        <x:v>768</x:v>
      </x:c>
    </x:row>
    <x:row r="404">
      <x:c r="A404" t="str">
        <x:v>EXP00409</x:v>
      </x:c>
      <x:c r="B404" s="6" t="d">
        <x:v>2025-07-20T00:00:00.000Z</x:v>
      </x:c>
      <x:c r="C404" t="str">
        <x:v>Office supplies</x:v>
      </x:c>
      <x:c r="D404" t="str">
        <x:v>Office supplies vendor 1</x:v>
      </x:c>
      <x:c r="E404" s="8" t="n">
        <x:v>343</x:v>
      </x:c>
    </x:row>
    <x:row r="405">
      <x:c r="A405" t="str">
        <x:v>EXP00411</x:v>
      </x:c>
      <x:c r="B405" s="6" t="d">
        <x:v>2025-07-21T00:00:00.000Z</x:v>
      </x:c>
      <x:c r="C405" t="str">
        <x:v>Marketing</x:v>
      </x:c>
      <x:c r="D405" t="str">
        <x:v>Marketing vendor 1</x:v>
      </x:c>
      <x:c r="E405" s="8" t="n">
        <x:v>2440</x:v>
      </x:c>
    </x:row>
    <x:row r="406">
      <x:c r="A406" t="str">
        <x:v>EXP00373</x:v>
      </x:c>
      <x:c r="B406" s="6" t="d">
        <x:v>2025-07-22T00:00:00.000Z</x:v>
      </x:c>
      <x:c r="C406" t="str">
        <x:v>Software</x:v>
      </x:c>
      <x:c r="D406" t="str">
        <x:v>Software vendor 2</x:v>
      </x:c>
      <x:c r="E406" s="8" t="n">
        <x:v>4777</x:v>
      </x:c>
    </x:row>
    <x:row r="407">
      <x:c r="A407" t="str">
        <x:v>EXP00414</x:v>
      </x:c>
      <x:c r="B407" s="6" t="d">
        <x:v>2025-07-22T00:00:00.000Z</x:v>
      </x:c>
      <x:c r="C407" t="str">
        <x:v>Marketing</x:v>
      </x:c>
      <x:c r="D407" t="str">
        <x:v>Marketing vendor 1</x:v>
      </x:c>
      <x:c r="E407" s="8" t="n">
        <x:v>3017</x:v>
      </x:c>
    </x:row>
    <x:row r="408">
      <x:c r="A408" t="str">
        <x:v>EXP00364</x:v>
      </x:c>
      <x:c r="B408" s="6" t="d">
        <x:v>2025-07-23T00:00:00.000Z</x:v>
      </x:c>
      <x:c r="C408" t="str">
        <x:v>Salaries</x:v>
      </x:c>
      <x:c r="D408" t="str">
        <x:v>Salaries vendor 3</x:v>
      </x:c>
      <x:c r="E408" s="8" t="n">
        <x:v>22679</x:v>
      </x:c>
    </x:row>
    <x:row r="409">
      <x:c r="A409" t="str">
        <x:v>EXP00370</x:v>
      </x:c>
      <x:c r="B409" s="6" t="d">
        <x:v>2025-07-23T00:00:00.000Z</x:v>
      </x:c>
      <x:c r="C409" t="str">
        <x:v>Utilities</x:v>
      </x:c>
      <x:c r="D409" t="str">
        <x:v>Utilities vendor 3</x:v>
      </x:c>
      <x:c r="E409" s="8" t="n">
        <x:v>2605</x:v>
      </x:c>
    </x:row>
    <x:row r="410">
      <x:c r="A410" t="str">
        <x:v>EXP00379</x:v>
      </x:c>
      <x:c r="B410" s="6" t="d">
        <x:v>2025-07-23T00:00:00.000Z</x:v>
      </x:c>
      <x:c r="C410" t="str">
        <x:v>Travel</x:v>
      </x:c>
      <x:c r="D410" t="str">
        <x:v>Travel vendor 3</x:v>
      </x:c>
      <x:c r="E410" s="8" t="n">
        <x:v>2119</x:v>
      </x:c>
    </x:row>
    <x:row r="411">
      <x:c r="A411" t="str">
        <x:v>EXP00383</x:v>
      </x:c>
      <x:c r="B411" s="6" t="d">
        <x:v>2025-07-24T00:00:00.000Z</x:v>
      </x:c>
      <x:c r="C411" t="str">
        <x:v>Travel</x:v>
      </x:c>
      <x:c r="D411" t="str">
        <x:v>Travel vendor 1</x:v>
      </x:c>
      <x:c r="E411" s="8" t="n">
        <x:v>1474</x:v>
      </x:c>
    </x:row>
    <x:row r="412">
      <x:c r="A412" t="str">
        <x:v>EXP00386</x:v>
      </x:c>
      <x:c r="B412" s="6" t="d">
        <x:v>2025-07-24T00:00:00.000Z</x:v>
      </x:c>
      <x:c r="C412" t="str">
        <x:v>Travel</x:v>
      </x:c>
      <x:c r="D412" t="str">
        <x:v>Travel vendor 1</x:v>
      </x:c>
      <x:c r="E412" s="8" t="n">
        <x:v>2509</x:v>
      </x:c>
    </x:row>
    <x:row r="413">
      <x:c r="A413" t="str">
        <x:v>EXP00368</x:v>
      </x:c>
      <x:c r="B413" s="6" t="d">
        <x:v>2025-07-25T00:00:00.000Z</x:v>
      </x:c>
      <x:c r="C413" t="str">
        <x:v>Utilities</x:v>
      </x:c>
      <x:c r="D413" t="str">
        <x:v>Utilities vendor 1</x:v>
      </x:c>
      <x:c r="E413" s="8" t="n">
        <x:v>3091</x:v>
      </x:c>
    </x:row>
    <x:row r="414">
      <x:c r="A414" t="str">
        <x:v>EXP00378</x:v>
      </x:c>
      <x:c r="B414" s="6" t="d">
        <x:v>2025-07-25T00:00:00.000Z</x:v>
      </x:c>
      <x:c r="C414" t="str">
        <x:v>Travel</x:v>
      </x:c>
      <x:c r="D414" t="str">
        <x:v>Travel vendor 2</x:v>
      </x:c>
      <x:c r="E414" s="8" t="n">
        <x:v>3020</x:v>
      </x:c>
    </x:row>
    <x:row r="415">
      <x:c r="A415" t="str">
        <x:v>EXP00404</x:v>
      </x:c>
      <x:c r="B415" s="6" t="d">
        <x:v>2025-07-25T00:00:00.000Z</x:v>
      </x:c>
      <x:c r="C415" t="str">
        <x:v>Office supplies</x:v>
      </x:c>
      <x:c r="D415" t="str">
        <x:v>Office supplies vendor 2</x:v>
      </x:c>
      <x:c r="E415" s="8" t="n">
        <x:v>631</x:v>
      </x:c>
    </x:row>
    <x:row r="416">
      <x:c r="A416" t="str">
        <x:v>EXP00408</x:v>
      </x:c>
      <x:c r="B416" s="6" t="d">
        <x:v>2025-07-26T00:00:00.000Z</x:v>
      </x:c>
      <x:c r="C416" t="str">
        <x:v>Office supplies</x:v>
      </x:c>
      <x:c r="D416" t="str">
        <x:v>Office supplies vendor 3</x:v>
      </x:c>
      <x:c r="E416" s="8" t="n">
        <x:v>848</x:v>
      </x:c>
    </x:row>
    <x:row r="417">
      <x:c r="A417" t="str">
        <x:v>EXP00402</x:v>
      </x:c>
      <x:c r="B417" s="6" t="d">
        <x:v>2025-07-27T00:00:00.000Z</x:v>
      </x:c>
      <x:c r="C417" t="str">
        <x:v>Meals</x:v>
      </x:c>
      <x:c r="D417" t="str">
        <x:v>Meals vendor 1</x:v>
      </x:c>
      <x:c r="E417" s="8" t="n">
        <x:v>314</x:v>
      </x:c>
    </x:row>
    <x:row r="418">
      <x:c r="A418" t="str">
        <x:v>EXP00399</x:v>
      </x:c>
      <x:c r="B418" s="6" t="d">
        <x:v>2025-07-28T00:00:00.000Z</x:v>
      </x:c>
      <x:c r="C418" t="str">
        <x:v>Meals</x:v>
      </x:c>
      <x:c r="D418" t="str">
        <x:v>Meals vendor 1</x:v>
      </x:c>
      <x:c r="E418" s="8" t="n">
        <x:v>751</x:v>
      </x:c>
    </x:row>
    <x:row r="419">
      <x:c r="A419" t="str">
        <x:v>EXP00362</x:v>
      </x:c>
      <x:c r="B419" s="6" t="d">
        <x:v>2025-07-29T00:00:00.000Z</x:v>
      </x:c>
      <x:c r="C419" t="str">
        <x:v>Salaries</x:v>
      </x:c>
      <x:c r="D419" t="str">
        <x:v>Salaries vendor 1</x:v>
      </x:c>
      <x:c r="E419" s="8" t="n">
        <x:v>17585</x:v>
      </x:c>
    </x:row>
    <x:row r="420">
      <x:c r="A420" t="str">
        <x:v>EXP00365</x:v>
      </x:c>
      <x:c r="B420" s="6" t="d">
        <x:v>2025-07-29T00:00:00.000Z</x:v>
      </x:c>
      <x:c r="C420" t="str">
        <x:v>Salaries</x:v>
      </x:c>
      <x:c r="D420" t="str">
        <x:v>Salaries vendor 1</x:v>
      </x:c>
      <x:c r="E420" s="8" t="n">
        <x:v>23686</x:v>
      </x:c>
    </x:row>
    <x:row r="421">
      <x:c r="A421" t="str">
        <x:v>EXP00377</x:v>
      </x:c>
      <x:c r="B421" s="6" t="d">
        <x:v>2025-07-31T00:00:00.000Z</x:v>
      </x:c>
      <x:c r="C421" t="str">
        <x:v>Travel</x:v>
      </x:c>
      <x:c r="D421" t="str">
        <x:v>Travel vendor 1</x:v>
      </x:c>
      <x:c r="E421" s="8" t="n">
        <x:v>1702</x:v>
      </x:c>
    </x:row>
    <x:row r="422">
      <x:c r="A422" t="str">
        <x:v>EXP00395</x:v>
      </x:c>
      <x:c r="B422" s="6" t="d">
        <x:v>2025-07-31T00:00:00.000Z</x:v>
      </x:c>
      <x:c r="C422" t="str">
        <x:v>Meals</x:v>
      </x:c>
      <x:c r="D422" t="str">
        <x:v>Meals vendor 3</x:v>
      </x:c>
      <x:c r="E422" s="8" t="n">
        <x:v>326</x:v>
      </x:c>
    </x:row>
    <x:row r="423">
      <x:c r="A423" t="str">
        <x:v>EXP00398</x:v>
      </x:c>
      <x:c r="B423" s="6" t="d">
        <x:v>2025-07-31T00:00:00.000Z</x:v>
      </x:c>
      <x:c r="C423" t="str">
        <x:v>Meals</x:v>
      </x:c>
      <x:c r="D423" t="str">
        <x:v>Meals vendor 3</x:v>
      </x:c>
      <x:c r="E423" s="8" t="n">
        <x:v>412</x:v>
      </x:c>
    </x:row>
    <x:row r="424">
      <x:c r="A424" t="str">
        <x:v>EXP00445</x:v>
      </x:c>
      <x:c r="B424" s="6" t="d">
        <x:v>2025-08-01T00:00:00.000Z</x:v>
      </x:c>
      <x:c r="C424" t="str">
        <x:v>Travel</x:v>
      </x:c>
      <x:c r="D424" t="str">
        <x:v>Travel vendor 3</x:v>
      </x:c>
      <x:c r="E424" s="8" t="n">
        <x:v>2184</x:v>
      </x:c>
    </x:row>
    <x:row r="425">
      <x:c r="A425" t="str">
        <x:v>EXP00456</x:v>
      </x:c>
      <x:c r="B425" s="6" t="d">
        <x:v>2025-08-02T00:00:00.000Z</x:v>
      </x:c>
      <x:c r="C425" t="str">
        <x:v>Meals</x:v>
      </x:c>
      <x:c r="D425" t="str">
        <x:v>Meals vendor 1</x:v>
      </x:c>
      <x:c r="E425" s="8" t="n">
        <x:v>541</x:v>
      </x:c>
    </x:row>
    <x:row r="426">
      <x:c r="A426" t="str">
        <x:v>EXP00468</x:v>
      </x:c>
      <x:c r="B426" s="6" t="d">
        <x:v>2025-08-02T00:00:00.000Z</x:v>
      </x:c>
      <x:c r="C426" t="str">
        <x:v>Office supplies</x:v>
      </x:c>
      <x:c r="D426" t="str">
        <x:v>Office supplies vendor 3</x:v>
      </x:c>
      <x:c r="E426" s="8" t="n">
        <x:v>819</x:v>
      </x:c>
    </x:row>
    <x:row r="427">
      <x:c r="A427" t="str">
        <x:v>EXP00423</x:v>
      </x:c>
      <x:c r="B427" s="6" t="d">
        <x:v>2025-08-03T00:00:00.000Z</x:v>
      </x:c>
      <x:c r="C427" t="str">
        <x:v>Salaries</x:v>
      </x:c>
      <x:c r="D427" t="str">
        <x:v>Salaries vendor 2</x:v>
      </x:c>
      <x:c r="E427" s="8" t="n">
        <x:v>32941</x:v>
      </x:c>
    </x:row>
    <x:row r="428">
      <x:c r="A428" t="str">
        <x:v>EXP00458</x:v>
      </x:c>
      <x:c r="B428" s="6" t="d">
        <x:v>2025-08-03T00:00:00.000Z</x:v>
      </x:c>
      <x:c r="C428" t="str">
        <x:v>Meals</x:v>
      </x:c>
      <x:c r="D428" t="str">
        <x:v>Meals vendor 3</x:v>
      </x:c>
      <x:c r="E428" s="8" t="n">
        <x:v>463</x:v>
      </x:c>
    </x:row>
    <x:row r="429">
      <x:c r="A429" t="str">
        <x:v>EXP00471</x:v>
      </x:c>
      <x:c r="B429" s="6" t="d">
        <x:v>2025-08-03T00:00:00.000Z</x:v>
      </x:c>
      <x:c r="C429" t="str">
        <x:v>Marketing</x:v>
      </x:c>
      <x:c r="D429" t="str">
        <x:v>Marketing vendor 1</x:v>
      </x:c>
      <x:c r="E429" s="8" t="n">
        <x:v>3504</x:v>
      </x:c>
    </x:row>
    <x:row r="430">
      <x:c r="A430" t="str">
        <x:v>EXP00436</x:v>
      </x:c>
      <x:c r="B430" s="6" t="d">
        <x:v>2025-08-04T00:00:00.000Z</x:v>
      </x:c>
      <x:c r="C430" t="str">
        <x:v>Software</x:v>
      </x:c>
      <x:c r="D430" t="str">
        <x:v>Software vendor 2</x:v>
      </x:c>
      <x:c r="E430" s="8" t="n">
        <x:v>4784</x:v>
      </x:c>
    </x:row>
    <x:row r="431">
      <x:c r="A431" t="str">
        <x:v>EXP00462</x:v>
      </x:c>
      <x:c r="B431" s="6" t="d">
        <x:v>2025-08-04T00:00:00.000Z</x:v>
      </x:c>
      <x:c r="C431" t="str">
        <x:v>Meals</x:v>
      </x:c>
      <x:c r="D431" t="str">
        <x:v>Meals vendor 1</x:v>
      </x:c>
      <x:c r="E431" s="8" t="n">
        <x:v>451</x:v>
      </x:c>
    </x:row>
    <x:row r="432">
      <x:c r="A432" t="str">
        <x:v>EXP00475</x:v>
      </x:c>
      <x:c r="B432" s="6" t="d">
        <x:v>2025-08-04T00:00:00.000Z</x:v>
      </x:c>
      <x:c r="C432" t="str">
        <x:v>Marketing</x:v>
      </x:c>
      <x:c r="D432" t="str">
        <x:v>Marketing vendor 2</x:v>
      </x:c>
      <x:c r="E432" s="8" t="n">
        <x:v>3616</x:v>
      </x:c>
    </x:row>
    <x:row r="433">
      <x:c r="A433" t="str">
        <x:v>EXP00478</x:v>
      </x:c>
      <x:c r="B433" s="6" t="d">
        <x:v>2025-08-04T00:00:00.000Z</x:v>
      </x:c>
      <x:c r="C433" t="str">
        <x:v>Marketing</x:v>
      </x:c>
      <x:c r="D433" t="str">
        <x:v>Marketing vendor 2</x:v>
      </x:c>
      <x:c r="E433" s="8" t="n">
        <x:v>1616</x:v>
      </x:c>
    </x:row>
    <x:row r="434">
      <x:c r="A434" t="str">
        <x:v>EXP00431</x:v>
      </x:c>
      <x:c r="B434" s="6" t="d">
        <x:v>2025-08-05T00:00:00.000Z</x:v>
      </x:c>
      <x:c r="C434" t="str">
        <x:v>Utilities</x:v>
      </x:c>
      <x:c r="D434" t="str">
        <x:v>Utilities vendor 1</x:v>
      </x:c>
      <x:c r="E434" s="8" t="n">
        <x:v>2677</x:v>
      </x:c>
    </x:row>
    <x:row r="435">
      <x:c r="A435" t="str">
        <x:v>EXP00469</x:v>
      </x:c>
      <x:c r="B435" s="6" t="d">
        <x:v>2025-08-07T00:00:00.000Z</x:v>
      </x:c>
      <x:c r="C435" t="str">
        <x:v>Office supplies</x:v>
      </x:c>
      <x:c r="D435" t="str">
        <x:v>Office supplies vendor 1</x:v>
      </x:c>
      <x:c r="E435" s="8" t="n">
        <x:v>617</x:v>
      </x:c>
    </x:row>
    <x:row r="436">
      <x:c r="A436" t="str">
        <x:v>EXP00425</x:v>
      </x:c>
      <x:c r="B436" s="6" t="d">
        <x:v>2025-08-08T00:00:00.000Z</x:v>
      </x:c>
      <x:c r="C436" t="str">
        <x:v>Salaries</x:v>
      </x:c>
      <x:c r="D436" t="str">
        <x:v>Salaries vendor 1</x:v>
      </x:c>
      <x:c r="E436" s="8" t="n">
        <x:v>22029</x:v>
      </x:c>
    </x:row>
    <x:row r="437">
      <x:c r="A437" t="str">
        <x:v>EXP00429</x:v>
      </x:c>
      <x:c r="B437" s="6" t="d">
        <x:v>2025-08-08T00:00:00.000Z</x:v>
      </x:c>
      <x:c r="C437" t="str">
        <x:v>Utilities</x:v>
      </x:c>
      <x:c r="D437" t="str">
        <x:v>Utilities vendor 2</x:v>
      </x:c>
      <x:c r="E437" s="8" t="n">
        <x:v>3361</x:v>
      </x:c>
    </x:row>
    <x:row r="438">
      <x:c r="A438" t="str">
        <x:v>EXP00437</x:v>
      </x:c>
      <x:c r="B438" s="6" t="d">
        <x:v>2025-08-08T00:00:00.000Z</x:v>
      </x:c>
      <x:c r="C438" t="str">
        <x:v>Travel</x:v>
      </x:c>
      <x:c r="D438" t="str">
        <x:v>Travel vendor 1</x:v>
      </x:c>
      <x:c r="E438" s="8" t="n">
        <x:v>1591</x:v>
      </x:c>
    </x:row>
    <x:row r="439">
      <x:c r="A439" t="str">
        <x:v>EXP00472</x:v>
      </x:c>
      <x:c r="B439" s="6" t="d">
        <x:v>2025-08-08T00:00:00.000Z</x:v>
      </x:c>
      <x:c r="C439" t="str">
        <x:v>Marketing</x:v>
      </x:c>
      <x:c r="D439" t="str">
        <x:v>Marketing vendor 2</x:v>
      </x:c>
      <x:c r="E439" s="8" t="n">
        <x:v>2303</x:v>
      </x:c>
    </x:row>
    <x:row r="440">
      <x:c r="A440" t="str">
        <x:v>EXP00427</x:v>
      </x:c>
      <x:c r="B440" s="6" t="d">
        <x:v>2025-08-09T00:00:00.000Z</x:v>
      </x:c>
      <x:c r="C440" t="str">
        <x:v>Salaries</x:v>
      </x:c>
      <x:c r="D440" t="str">
        <x:v>Salaries vendor 3</x:v>
      </x:c>
      <x:c r="E440" s="8" t="n">
        <x:v>36228</x:v>
      </x:c>
    </x:row>
    <x:row r="441">
      <x:c r="A441" t="str">
        <x:v>EXP00460</x:v>
      </x:c>
      <x:c r="B441" s="6" t="d">
        <x:v>2025-08-09T00:00:00.000Z</x:v>
      </x:c>
      <x:c r="C441" t="str">
        <x:v>Meals</x:v>
      </x:c>
      <x:c r="D441" t="str">
        <x:v>Meals vendor 2</x:v>
      </x:c>
      <x:c r="E441" s="8" t="n">
        <x:v>639</x:v>
      </x:c>
    </x:row>
    <x:row r="442">
      <x:c r="A442" t="str">
        <x:v>EXP00470</x:v>
      </x:c>
      <x:c r="B442" s="6" t="d">
        <x:v>2025-08-09T00:00:00.000Z</x:v>
      </x:c>
      <x:c r="C442" t="str">
        <x:v>Office supplies</x:v>
      </x:c>
      <x:c r="D442" t="str">
        <x:v>Office supplies vendor 2</x:v>
      </x:c>
      <x:c r="E442" s="8" t="n">
        <x:v>772</x:v>
      </x:c>
    </x:row>
    <x:row r="443">
      <x:c r="A443" t="str">
        <x:v>EXP00434</x:v>
      </x:c>
      <x:c r="B443" s="6" t="d">
        <x:v>2025-08-10T00:00:00.000Z</x:v>
      </x:c>
      <x:c r="C443" t="str">
        <x:v>Software</x:v>
      </x:c>
      <x:c r="D443" t="str">
        <x:v>Software vendor 3</x:v>
      </x:c>
      <x:c r="E443" s="8" t="n">
        <x:v>2551</x:v>
      </x:c>
    </x:row>
    <x:row r="444">
      <x:c r="A444" t="str">
        <x:v>EXP00449</x:v>
      </x:c>
      <x:c r="B444" s="6" t="d">
        <x:v>2025-08-10T00:00:00.000Z</x:v>
      </x:c>
      <x:c r="C444" t="str">
        <x:v>Meals</x:v>
      </x:c>
      <x:c r="D444" t="str">
        <x:v>Meals vendor 3</x:v>
      </x:c>
      <x:c r="E444" s="8" t="n">
        <x:v>686</x:v>
      </x:c>
    </x:row>
    <x:row r="445">
      <x:c r="A445" t="str">
        <x:v>EXP00459</x:v>
      </x:c>
      <x:c r="B445" s="6" t="d">
        <x:v>2025-08-11T00:00:00.000Z</x:v>
      </x:c>
      <x:c r="C445" t="str">
        <x:v>Meals</x:v>
      </x:c>
      <x:c r="D445" t="str">
        <x:v>Meals vendor 1</x:v>
      </x:c>
      <x:c r="E445" s="8" t="n">
        <x:v>455</x:v>
      </x:c>
    </x:row>
    <x:row r="446">
      <x:c r="A446" t="str">
        <x:v>EXP00461</x:v>
      </x:c>
      <x:c r="B446" s="6" t="d">
        <x:v>2025-08-11T00:00:00.000Z</x:v>
      </x:c>
      <x:c r="C446" t="str">
        <x:v>Meals</x:v>
      </x:c>
      <x:c r="D446" t="str">
        <x:v>Meals vendor 3</x:v>
      </x:c>
      <x:c r="E446" s="8" t="n">
        <x:v>741</x:v>
      </x:c>
    </x:row>
    <x:row r="447">
      <x:c r="A447" t="str">
        <x:v>EXP00452</x:v>
      </x:c>
      <x:c r="B447" s="6" t="d">
        <x:v>2025-08-13T00:00:00.000Z</x:v>
      </x:c>
      <x:c r="C447" t="str">
        <x:v>Meals</x:v>
      </x:c>
      <x:c r="D447" t="str">
        <x:v>Meals vendor 3</x:v>
      </x:c>
      <x:c r="E447" s="8" t="n">
        <x:v>773</x:v>
      </x:c>
    </x:row>
    <x:row r="448">
      <x:c r="A448" t="str">
        <x:v>EXP00421</x:v>
      </x:c>
      <x:c r="B448" s="6" t="d">
        <x:v>2025-08-14T00:00:00.000Z</x:v>
      </x:c>
      <x:c r="C448" t="str">
        <x:v>Rent</x:v>
      </x:c>
      <x:c r="D448" t="str">
        <x:v>Rent vendor 1</x:v>
      </x:c>
      <x:c r="E448" s="8" t="n">
        <x:v>40000</x:v>
      </x:c>
    </x:row>
    <x:row r="449">
      <x:c r="A449" t="str">
        <x:v>EXP00422</x:v>
      </x:c>
      <x:c r="B449" s="6" t="d">
        <x:v>2025-08-15T00:00:00.000Z</x:v>
      </x:c>
      <x:c r="C449" t="str">
        <x:v>Salaries</x:v>
      </x:c>
      <x:c r="D449" t="str">
        <x:v>Salaries vendor 1</x:v>
      </x:c>
      <x:c r="E449" s="8" t="n">
        <x:v>28625</x:v>
      </x:c>
    </x:row>
    <x:row r="450">
      <x:c r="A450" t="str">
        <x:v>EXP00435</x:v>
      </x:c>
      <x:c r="B450" s="6" t="d">
        <x:v>2025-08-15T00:00:00.000Z</x:v>
      </x:c>
      <x:c r="C450" t="str">
        <x:v>Software</x:v>
      </x:c>
      <x:c r="D450" t="str">
        <x:v>Software vendor 1</x:v>
      </x:c>
      <x:c r="E450" s="8" t="n">
        <x:v>3094</x:v>
      </x:c>
    </x:row>
    <x:row r="451">
      <x:c r="A451" t="str">
        <x:v>EXP00457</x:v>
      </x:c>
      <x:c r="B451" s="6" t="d">
        <x:v>2025-08-15T00:00:00.000Z</x:v>
      </x:c>
      <x:c r="C451" t="str">
        <x:v>Meals</x:v>
      </x:c>
      <x:c r="D451" t="str">
        <x:v>Meals vendor 2</x:v>
      </x:c>
      <x:c r="E451" s="8" t="n">
        <x:v>323</x:v>
      </x:c>
    </x:row>
    <x:row r="452">
      <x:c r="A452" t="str">
        <x:v>EXP00466</x:v>
      </x:c>
      <x:c r="B452" s="6" t="d">
        <x:v>2025-08-15T00:00:00.000Z</x:v>
      </x:c>
      <x:c r="C452" t="str">
        <x:v>Office supplies</x:v>
      </x:c>
      <x:c r="D452" t="str">
        <x:v>Office supplies vendor 1</x:v>
      </x:c>
      <x:c r="E452" s="8" t="n">
        <x:v>1038</x:v>
      </x:c>
    </x:row>
    <x:row r="453">
      <x:c r="A453" t="str">
        <x:v>EXP00476</x:v>
      </x:c>
      <x:c r="B453" s="6" t="d">
        <x:v>2025-08-15T00:00:00.000Z</x:v>
      </x:c>
      <x:c r="C453" t="str">
        <x:v>Marketing</x:v>
      </x:c>
      <x:c r="D453" t="str">
        <x:v>Marketing vendor 3</x:v>
      </x:c>
      <x:c r="E453" s="8" t="n">
        <x:v>2722</x:v>
      </x:c>
    </x:row>
    <x:row r="454">
      <x:c r="A454" t="str">
        <x:v>EXP00448</x:v>
      </x:c>
      <x:c r="B454" s="6" t="d">
        <x:v>2025-08-16T00:00:00.000Z</x:v>
      </x:c>
      <x:c r="C454" t="str">
        <x:v>Meals</x:v>
      </x:c>
      <x:c r="D454" t="str">
        <x:v>Meals vendor 2</x:v>
      </x:c>
      <x:c r="E454" s="8" t="n">
        <x:v>295</x:v>
      </x:c>
    </x:row>
    <x:row r="455">
      <x:c r="A455" t="str">
        <x:v>EXP00464</x:v>
      </x:c>
      <x:c r="B455" s="6" t="d">
        <x:v>2025-08-16T00:00:00.000Z</x:v>
      </x:c>
      <x:c r="C455" t="str">
        <x:v>Office supplies</x:v>
      </x:c>
      <x:c r="D455" t="str">
        <x:v>Office supplies vendor 2</x:v>
      </x:c>
      <x:c r="E455" s="8" t="n">
        <x:v>910</x:v>
      </x:c>
    </x:row>
    <x:row r="456">
      <x:c r="A456" t="str">
        <x:v>EXP00428</x:v>
      </x:c>
      <x:c r="B456" s="6" t="d">
        <x:v>2025-08-18T00:00:00.000Z</x:v>
      </x:c>
      <x:c r="C456" t="str">
        <x:v>Utilities</x:v>
      </x:c>
      <x:c r="D456" t="str">
        <x:v>Utilities vendor 1</x:v>
      </x:c>
      <x:c r="E456" s="8" t="n">
        <x:v>3256</x:v>
      </x:c>
    </x:row>
    <x:row r="457">
      <x:c r="A457" t="str">
        <x:v>EXP00455</x:v>
      </x:c>
      <x:c r="B457" s="6" t="d">
        <x:v>2025-08-18T00:00:00.000Z</x:v>
      </x:c>
      <x:c r="C457" t="str">
        <x:v>Meals</x:v>
      </x:c>
      <x:c r="D457" t="str">
        <x:v>Meals vendor 3</x:v>
      </x:c>
      <x:c r="E457" s="8" t="n">
        <x:v>619</x:v>
      </x:c>
    </x:row>
    <x:row r="458">
      <x:c r="A458" t="str">
        <x:v>EXP00432</x:v>
      </x:c>
      <x:c r="B458" s="6" t="d">
        <x:v>2025-08-19T00:00:00.000Z</x:v>
      </x:c>
      <x:c r="C458" t="str">
        <x:v>Software</x:v>
      </x:c>
      <x:c r="D458" t="str">
        <x:v>Software vendor 1</x:v>
      </x:c>
      <x:c r="E458" s="8" t="n">
        <x:v>5082</x:v>
      </x:c>
    </x:row>
    <x:row r="459">
      <x:c r="A459" t="str">
        <x:v>EXP00442</x:v>
      </x:c>
      <x:c r="B459" s="6" t="d">
        <x:v>2025-08-19T00:00:00.000Z</x:v>
      </x:c>
      <x:c r="C459" t="str">
        <x:v>Travel</x:v>
      </x:c>
      <x:c r="D459" t="str">
        <x:v>Travel vendor 3</x:v>
      </x:c>
      <x:c r="E459" s="8" t="n">
        <x:v>2173</x:v>
      </x:c>
    </x:row>
    <x:row r="460">
      <x:c r="A460" t="str">
        <x:v>EXP00443</x:v>
      </x:c>
      <x:c r="B460" s="6" t="d">
        <x:v>2025-08-19T00:00:00.000Z</x:v>
      </x:c>
      <x:c r="C460" t="str">
        <x:v>Travel</x:v>
      </x:c>
      <x:c r="D460" t="str">
        <x:v>Travel vendor 1</x:v>
      </x:c>
      <x:c r="E460" s="8" t="n">
        <x:v>2749</x:v>
      </x:c>
    </x:row>
    <x:row r="461">
      <x:c r="A461" t="str">
        <x:v>EXP00430</x:v>
      </x:c>
      <x:c r="B461" s="6" t="d">
        <x:v>2025-08-21T00:00:00.000Z</x:v>
      </x:c>
      <x:c r="C461" t="str">
        <x:v>Utilities</x:v>
      </x:c>
      <x:c r="D461" t="str">
        <x:v>Utilities vendor 3</x:v>
      </x:c>
      <x:c r="E461" s="8" t="n">
        <x:v>4149</x:v>
      </x:c>
    </x:row>
    <x:row r="462">
      <x:c r="A462" t="str">
        <x:v>EXP00465</x:v>
      </x:c>
      <x:c r="B462" s="6" t="d">
        <x:v>2025-08-21T00:00:00.000Z</x:v>
      </x:c>
      <x:c r="C462" t="str">
        <x:v>Office supplies</x:v>
      </x:c>
      <x:c r="D462" t="str">
        <x:v>Office supplies vendor 3</x:v>
      </x:c>
      <x:c r="E462" s="8" t="n">
        <x:v>1334</x:v>
      </x:c>
    </x:row>
    <x:row r="463">
      <x:c r="A463" t="str">
        <x:v>EXP00479</x:v>
      </x:c>
      <x:c r="B463" s="6" t="d">
        <x:v>2025-08-21T00:00:00.000Z</x:v>
      </x:c>
      <x:c r="C463" t="str">
        <x:v>Marketing</x:v>
      </x:c>
      <x:c r="D463" t="str">
        <x:v>Marketing vendor 3</x:v>
      </x:c>
      <x:c r="E463" s="8" t="n">
        <x:v>2579</x:v>
      </x:c>
    </x:row>
    <x:row r="464">
      <x:c r="A464" t="str">
        <x:v>EXP00424</x:v>
      </x:c>
      <x:c r="B464" s="6" t="d">
        <x:v>2025-08-22T00:00:00.000Z</x:v>
      </x:c>
      <x:c r="C464" t="str">
        <x:v>Salaries</x:v>
      </x:c>
      <x:c r="D464" t="str">
        <x:v>Salaries vendor 3</x:v>
      </x:c>
      <x:c r="E464" s="8" t="n">
        <x:v>23829</x:v>
      </x:c>
    </x:row>
    <x:row r="465">
      <x:c r="A465" t="str">
        <x:v>EXP00439</x:v>
      </x:c>
      <x:c r="B465" s="6" t="d">
        <x:v>2025-08-22T00:00:00.000Z</x:v>
      </x:c>
      <x:c r="C465" t="str">
        <x:v>Travel</x:v>
      </x:c>
      <x:c r="D465" t="str">
        <x:v>Travel vendor 3</x:v>
      </x:c>
      <x:c r="E465" s="8" t="n">
        <x:v>1528</x:v>
      </x:c>
    </x:row>
    <x:row r="466">
      <x:c r="A466" t="str">
        <x:v>EXP00450</x:v>
      </x:c>
      <x:c r="B466" s="6" t="d">
        <x:v>2025-08-22T00:00:00.000Z</x:v>
      </x:c>
      <x:c r="C466" t="str">
        <x:v>Meals</x:v>
      </x:c>
      <x:c r="D466" t="str">
        <x:v>Meals vendor 1</x:v>
      </x:c>
      <x:c r="E466" s="8" t="n">
        <x:v>530</x:v>
      </x:c>
    </x:row>
    <x:row r="467">
      <x:c r="A467" t="str">
        <x:v>EXP00447</x:v>
      </x:c>
      <x:c r="B467" s="6" t="d">
        <x:v>2025-08-23T00:00:00.000Z</x:v>
      </x:c>
      <x:c r="C467" t="str">
        <x:v>Meals</x:v>
      </x:c>
      <x:c r="D467" t="str">
        <x:v>Meals vendor 1</x:v>
      </x:c>
      <x:c r="E467" s="8" t="n">
        <x:v>420</x:v>
      </x:c>
    </x:row>
    <x:row r="468">
      <x:c r="A468" t="str">
        <x:v>EXP00446</x:v>
      </x:c>
      <x:c r="B468" s="6" t="d">
        <x:v>2025-08-25T00:00:00.000Z</x:v>
      </x:c>
      <x:c r="C468" t="str">
        <x:v>Travel</x:v>
      </x:c>
      <x:c r="D468" t="str">
        <x:v>Travel vendor 1</x:v>
      </x:c>
      <x:c r="E468" s="8" t="n">
        <x:v>1039</x:v>
      </x:c>
    </x:row>
    <x:row r="469">
      <x:c r="A469" t="str">
        <x:v>EXP00454</x:v>
      </x:c>
      <x:c r="B469" s="6" t="d">
        <x:v>2025-08-25T00:00:00.000Z</x:v>
      </x:c>
      <x:c r="C469" t="str">
        <x:v>Meals</x:v>
      </x:c>
      <x:c r="D469" t="str">
        <x:v>Meals vendor 2</x:v>
      </x:c>
      <x:c r="E469" s="8" t="n">
        <x:v>592</x:v>
      </x:c>
    </x:row>
    <x:row r="470">
      <x:c r="A470" t="str">
        <x:v>EXP00463</x:v>
      </x:c>
      <x:c r="B470" s="6" t="d">
        <x:v>2025-08-25T00:00:00.000Z</x:v>
      </x:c>
      <x:c r="C470" t="str">
        <x:v>Office supplies</x:v>
      </x:c>
      <x:c r="D470" t="str">
        <x:v>Office supplies vendor 1</x:v>
      </x:c>
      <x:c r="E470" s="8" t="n">
        <x:v>811</x:v>
      </x:c>
    </x:row>
    <x:row r="471">
      <x:c r="A471" t="str">
        <x:v>EXP00467</x:v>
      </x:c>
      <x:c r="B471" s="6" t="d">
        <x:v>2025-08-25T00:00:00.000Z</x:v>
      </x:c>
      <x:c r="C471" t="str">
        <x:v>Office supplies</x:v>
      </x:c>
      <x:c r="D471" t="str">
        <x:v>Office supplies vendor 2</x:v>
      </x:c>
      <x:c r="E471" s="8" t="n">
        <x:v>935</x:v>
      </x:c>
    </x:row>
    <x:row r="472">
      <x:c r="A472" t="str">
        <x:v>EXP00440</x:v>
      </x:c>
      <x:c r="B472" s="6" t="d">
        <x:v>2025-08-27T00:00:00.000Z</x:v>
      </x:c>
      <x:c r="C472" t="str">
        <x:v>Travel</x:v>
      </x:c>
      <x:c r="D472" t="str">
        <x:v>Travel vendor 1</x:v>
      </x:c>
      <x:c r="E472" s="8" t="n">
        <x:v>2058</x:v>
      </x:c>
    </x:row>
    <x:row r="473">
      <x:c r="A473" t="str">
        <x:v>EXP00453</x:v>
      </x:c>
      <x:c r="B473" s="6" t="d">
        <x:v>2025-08-27T00:00:00.000Z</x:v>
      </x:c>
      <x:c r="C473" t="str">
        <x:v>Meals</x:v>
      </x:c>
      <x:c r="D473" t="str">
        <x:v>Meals vendor 1</x:v>
      </x:c>
      <x:c r="E473" s="8" t="n">
        <x:v>372</x:v>
      </x:c>
    </x:row>
    <x:row r="474">
      <x:c r="A474" t="str">
        <x:v>EXP00473</x:v>
      </x:c>
      <x:c r="B474" s="6" t="d">
        <x:v>2025-08-27T00:00:00.000Z</x:v>
      </x:c>
      <x:c r="C474" t="str">
        <x:v>Marketing</x:v>
      </x:c>
      <x:c r="D474" t="str">
        <x:v>Marketing vendor 3</x:v>
      </x:c>
      <x:c r="E474" s="8" t="n">
        <x:v>2941</x:v>
      </x:c>
    </x:row>
    <x:row r="475">
      <x:c r="A475" t="str">
        <x:v>EXP00480</x:v>
      </x:c>
      <x:c r="B475" s="6" t="d">
        <x:v>2025-08-27T00:00:00.000Z</x:v>
      </x:c>
      <x:c r="C475" t="str">
        <x:v>Marketing</x:v>
      </x:c>
      <x:c r="D475" t="str">
        <x:v>Marketing vendor 1</x:v>
      </x:c>
      <x:c r="E475" s="8" t="n">
        <x:v>2582</x:v>
      </x:c>
    </x:row>
    <x:row r="476">
      <x:c r="A476" t="str">
        <x:v>EXP00441</x:v>
      </x:c>
      <x:c r="B476" s="6" t="d">
        <x:v>2025-08-28T00:00:00.000Z</x:v>
      </x:c>
      <x:c r="C476" t="str">
        <x:v>Travel</x:v>
      </x:c>
      <x:c r="D476" t="str">
        <x:v>Travel vendor 2</x:v>
      </x:c>
      <x:c r="E476" s="8" t="n">
        <x:v>1855</x:v>
      </x:c>
    </x:row>
    <x:row r="477">
      <x:c r="A477" t="str">
        <x:v>EXP00426</x:v>
      </x:c>
      <x:c r="B477" s="6" t="d">
        <x:v>2025-08-30T00:00:00.000Z</x:v>
      </x:c>
      <x:c r="C477" t="str">
        <x:v>Salaries</x:v>
      </x:c>
      <x:c r="D477" t="str">
        <x:v>Salaries vendor 2</x:v>
      </x:c>
      <x:c r="E477" s="8" t="n">
        <x:v>36348</x:v>
      </x:c>
    </x:row>
    <x:row r="478">
      <x:c r="A478" t="str">
        <x:v>EXP00433</x:v>
      </x:c>
      <x:c r="B478" s="6" t="d">
        <x:v>2025-08-30T00:00:00.000Z</x:v>
      </x:c>
      <x:c r="C478" t="str">
        <x:v>Software</x:v>
      </x:c>
      <x:c r="D478" t="str">
        <x:v>Software vendor 2</x:v>
      </x:c>
      <x:c r="E478" s="8" t="n">
        <x:v>2189</x:v>
      </x:c>
    </x:row>
    <x:row r="479">
      <x:c r="A479" t="str">
        <x:v>EXP00474</x:v>
      </x:c>
      <x:c r="B479" s="6" t="d">
        <x:v>2025-08-30T00:00:00.000Z</x:v>
      </x:c>
      <x:c r="C479" t="str">
        <x:v>Marketing</x:v>
      </x:c>
      <x:c r="D479" t="str">
        <x:v>Marketing vendor 1</x:v>
      </x:c>
      <x:c r="E479" s="8" t="n">
        <x:v>1525</x:v>
      </x:c>
    </x:row>
    <x:row r="480">
      <x:c r="A480" t="str">
        <x:v>EXP00438</x:v>
      </x:c>
      <x:c r="B480" s="6" t="d">
        <x:v>2025-08-31T00:00:00.000Z</x:v>
      </x:c>
      <x:c r="C480" t="str">
        <x:v>Travel</x:v>
      </x:c>
      <x:c r="D480" t="str">
        <x:v>Travel vendor 2</x:v>
      </x:c>
      <x:c r="E480" s="8" t="n">
        <x:v>1786</x:v>
      </x:c>
    </x:row>
    <x:row r="481">
      <x:c r="A481" t="str">
        <x:v>EXP00444</x:v>
      </x:c>
      <x:c r="B481" s="6" t="d">
        <x:v>2025-08-31T00:00:00.000Z</x:v>
      </x:c>
      <x:c r="C481" t="str">
        <x:v>Travel</x:v>
      </x:c>
      <x:c r="D481" t="str">
        <x:v>Travel vendor 2</x:v>
      </x:c>
      <x:c r="E481" s="8" t="n">
        <x:v>2443</x:v>
      </x:c>
    </x:row>
    <x:row r="482">
      <x:c r="A482" t="str">
        <x:v>EXP00451</x:v>
      </x:c>
      <x:c r="B482" s="6" t="d">
        <x:v>2025-08-31T00:00:00.000Z</x:v>
      </x:c>
      <x:c r="C482" t="str">
        <x:v>Meals</x:v>
      </x:c>
      <x:c r="D482" t="str">
        <x:v>Meals vendor 2</x:v>
      </x:c>
      <x:c r="E482" s="8" t="n">
        <x:v>628</x:v>
      </x:c>
    </x:row>
    <x:row r="483">
      <x:c r="A483" t="str">
        <x:v>EXP00477</x:v>
      </x:c>
      <x:c r="B483" s="6" t="d">
        <x:v>2025-08-31T00:00:00.000Z</x:v>
      </x:c>
      <x:c r="C483" t="str">
        <x:v>Marketing</x:v>
      </x:c>
      <x:c r="D483" t="str">
        <x:v>Marketing vendor 1</x:v>
      </x:c>
      <x:c r="E483" s="8" t="n">
        <x:v>1815</x:v>
      </x:c>
    </x:row>
    <x:row r="484">
      <x:c r="A484" t="str">
        <x:v>EXP00512</x:v>
      </x:c>
      <x:c r="B484" s="6" t="d">
        <x:v>2025-09-03T00:00:00.000Z</x:v>
      </x:c>
      <x:c r="C484" t="str">
        <x:v>Meals</x:v>
      </x:c>
      <x:c r="D484" t="str">
        <x:v>Meals vendor 3</x:v>
      </x:c>
      <x:c r="E484" s="8" t="n">
        <x:v>726</x:v>
      </x:c>
    </x:row>
    <x:row r="485">
      <x:c r="A485" t="str">
        <x:v>EXP00531</x:v>
      </x:c>
      <x:c r="B485" s="6" t="d">
        <x:v>2025-09-03T00:00:00.000Z</x:v>
      </x:c>
      <x:c r="C485" t="str">
        <x:v>Marketing</x:v>
      </x:c>
      <x:c r="D485" t="str">
        <x:v>Marketing vendor 1</x:v>
      </x:c>
      <x:c r="E485" s="8" t="n">
        <x:v>3925</x:v>
      </x:c>
    </x:row>
    <x:row r="486">
      <x:c r="A486" t="str">
        <x:v>EXP00523</x:v>
      </x:c>
      <x:c r="B486" s="6" t="d">
        <x:v>2025-09-04T00:00:00.000Z</x:v>
      </x:c>
      <x:c r="C486" t="str">
        <x:v>Office supplies</x:v>
      </x:c>
      <x:c r="D486" t="str">
        <x:v>Office supplies vendor 1</x:v>
      </x:c>
      <x:c r="E486" s="8" t="n">
        <x:v>965</x:v>
      </x:c>
    </x:row>
    <x:row r="487">
      <x:c r="A487" t="str">
        <x:v>EXP00528</x:v>
      </x:c>
      <x:c r="B487" s="6" t="d">
        <x:v>2025-09-04T00:00:00.000Z</x:v>
      </x:c>
      <x:c r="C487" t="str">
        <x:v>Office supplies</x:v>
      </x:c>
      <x:c r="D487" t="str">
        <x:v>Office supplies vendor 3</x:v>
      </x:c>
      <x:c r="E487" s="8" t="n">
        <x:v>769</x:v>
      </x:c>
    </x:row>
    <x:row r="488">
      <x:c r="A488" t="str">
        <x:v>EXP00483</x:v>
      </x:c>
      <x:c r="B488" s="6" t="d">
        <x:v>2025-09-05T00:00:00.000Z</x:v>
      </x:c>
      <x:c r="C488" t="str">
        <x:v>Salaries</x:v>
      </x:c>
      <x:c r="D488" t="str">
        <x:v>Salaries vendor 2</x:v>
      </x:c>
      <x:c r="E488" s="8" t="n">
        <x:v>27693</x:v>
      </x:c>
    </x:row>
    <x:row r="489">
      <x:c r="A489" t="str">
        <x:v>EXP00494</x:v>
      </x:c>
      <x:c r="B489" s="6" t="d">
        <x:v>2025-09-05T00:00:00.000Z</x:v>
      </x:c>
      <x:c r="C489" t="str">
        <x:v>Software</x:v>
      </x:c>
      <x:c r="D489" t="str">
        <x:v>Software vendor 3</x:v>
      </x:c>
      <x:c r="E489" s="8" t="n">
        <x:v>2576</x:v>
      </x:c>
    </x:row>
    <x:row r="490">
      <x:c r="A490" t="str">
        <x:v>EXP00530</x:v>
      </x:c>
      <x:c r="B490" s="6" t="d">
        <x:v>2025-09-06T00:00:00.000Z</x:v>
      </x:c>
      <x:c r="C490" t="str">
        <x:v>Office supplies</x:v>
      </x:c>
      <x:c r="D490" t="str">
        <x:v>Office supplies vendor 2</x:v>
      </x:c>
      <x:c r="E490" s="8" t="n">
        <x:v>576</x:v>
      </x:c>
    </x:row>
    <x:row r="491">
      <x:c r="A491" t="str">
        <x:v>EXP00485</x:v>
      </x:c>
      <x:c r="B491" s="6" t="d">
        <x:v>2025-09-07T00:00:00.000Z</x:v>
      </x:c>
      <x:c r="C491" t="str">
        <x:v>Salaries</x:v>
      </x:c>
      <x:c r="D491" t="str">
        <x:v>Salaries vendor 1</x:v>
      </x:c>
      <x:c r="E491" s="8" t="n">
        <x:v>36637</x:v>
      </x:c>
    </x:row>
    <x:row r="492">
      <x:c r="A492" t="str">
        <x:v>EXP00537</x:v>
      </x:c>
      <x:c r="B492" s="6" t="d">
        <x:v>2025-09-08T00:00:00.000Z</x:v>
      </x:c>
      <x:c r="C492" t="str">
        <x:v>Marketing</x:v>
      </x:c>
      <x:c r="D492" t="str">
        <x:v>Marketing vendor 1</x:v>
      </x:c>
      <x:c r="E492" s="8" t="n">
        <x:v>2884</x:v>
      </x:c>
    </x:row>
    <x:row r="493">
      <x:c r="A493" t="str">
        <x:v>EXP00489</x:v>
      </x:c>
      <x:c r="B493" s="6" t="d">
        <x:v>2025-09-11T00:00:00.000Z</x:v>
      </x:c>
      <x:c r="C493" t="str">
        <x:v>Utilities</x:v>
      </x:c>
      <x:c r="D493" t="str">
        <x:v>Utilities vendor 2</x:v>
      </x:c>
      <x:c r="E493" s="8" t="n">
        <x:v>3365</x:v>
      </x:c>
    </x:row>
    <x:row r="494">
      <x:c r="A494" t="str">
        <x:v>EXP00497</x:v>
      </x:c>
      <x:c r="B494" s="6" t="d">
        <x:v>2025-09-11T00:00:00.000Z</x:v>
      </x:c>
      <x:c r="C494" t="str">
        <x:v>Travel</x:v>
      </x:c>
      <x:c r="D494" t="str">
        <x:v>Travel vendor 1</x:v>
      </x:c>
      <x:c r="E494" s="8" t="n">
        <x:v>1461</x:v>
      </x:c>
    </x:row>
    <x:row r="495">
      <x:c r="A495" t="str">
        <x:v>EXP00507</x:v>
      </x:c>
      <x:c r="B495" s="6" t="d">
        <x:v>2025-09-11T00:00:00.000Z</x:v>
      </x:c>
      <x:c r="C495" t="str">
        <x:v>Meals</x:v>
      </x:c>
      <x:c r="D495" t="str">
        <x:v>Meals vendor 1</x:v>
      </x:c>
      <x:c r="E495" s="8" t="n">
        <x:v>784</x:v>
      </x:c>
    </x:row>
    <x:row r="496">
      <x:c r="A496" t="str">
        <x:v>EXP00514</x:v>
      </x:c>
      <x:c r="B496" s="6" t="d">
        <x:v>2025-09-11T00:00:00.000Z</x:v>
      </x:c>
      <x:c r="C496" t="str">
        <x:v>Meals</x:v>
      </x:c>
      <x:c r="D496" t="str">
        <x:v>Meals vendor 2</x:v>
      </x:c>
      <x:c r="E496" s="8" t="n">
        <x:v>498</x:v>
      </x:c>
    </x:row>
    <x:row r="497">
      <x:c r="A497" t="str">
        <x:v>EXP00520</x:v>
      </x:c>
      <x:c r="B497" s="6" t="d">
        <x:v>2025-09-11T00:00:00.000Z</x:v>
      </x:c>
      <x:c r="C497" t="str">
        <x:v>Meals</x:v>
      </x:c>
      <x:c r="D497" t="str">
        <x:v>Meals vendor 2</x:v>
      </x:c>
      <x:c r="E497" s="8" t="n">
        <x:v>347</x:v>
      </x:c>
    </x:row>
    <x:row r="498">
      <x:c r="A498" t="str">
        <x:v>EXP00484</x:v>
      </x:c>
      <x:c r="B498" s="6" t="d">
        <x:v>2025-09-13T00:00:00.000Z</x:v>
      </x:c>
      <x:c r="C498" t="str">
        <x:v>Salaries</x:v>
      </x:c>
      <x:c r="D498" t="str">
        <x:v>Salaries vendor 3</x:v>
      </x:c>
      <x:c r="E498" s="8" t="n">
        <x:v>21230</x:v>
      </x:c>
    </x:row>
    <x:row r="499">
      <x:c r="A499" t="str">
        <x:v>EXP00503</x:v>
      </x:c>
      <x:c r="B499" s="6" t="d">
        <x:v>2025-09-13T00:00:00.000Z</x:v>
      </x:c>
      <x:c r="C499" t="str">
        <x:v>Travel</x:v>
      </x:c>
      <x:c r="D499" t="str">
        <x:v>Travel vendor 1</x:v>
      </x:c>
      <x:c r="E499" s="8" t="n">
        <x:v>1296</x:v>
      </x:c>
    </x:row>
    <x:row r="500">
      <x:c r="A500" t="str">
        <x:v>EXP00504</x:v>
      </x:c>
      <x:c r="B500" s="6" t="d">
        <x:v>2025-09-13T00:00:00.000Z</x:v>
      </x:c>
      <x:c r="C500" t="str">
        <x:v>Travel</x:v>
      </x:c>
      <x:c r="D500" t="str">
        <x:v>Travel vendor 2</x:v>
      </x:c>
      <x:c r="E500" s="8" t="n">
        <x:v>1549</x:v>
      </x:c>
    </x:row>
    <x:row r="501">
      <x:c r="A501" t="str">
        <x:v>EXP00510</x:v>
      </x:c>
      <x:c r="B501" s="6" t="d">
        <x:v>2025-09-13T00:00:00.000Z</x:v>
      </x:c>
      <x:c r="C501" t="str">
        <x:v>Meals</x:v>
      </x:c>
      <x:c r="D501" t="str">
        <x:v>Meals vendor 1</x:v>
      </x:c>
      <x:c r="E501" s="8" t="n">
        <x:v>531</x:v>
      </x:c>
    </x:row>
    <x:row r="502">
      <x:c r="A502" t="str">
        <x:v>EXP00519</x:v>
      </x:c>
      <x:c r="B502" s="6" t="d">
        <x:v>2025-09-13T00:00:00.000Z</x:v>
      </x:c>
      <x:c r="C502" t="str">
        <x:v>Meals</x:v>
      </x:c>
      <x:c r="D502" t="str">
        <x:v>Meals vendor 1</x:v>
      </x:c>
      <x:c r="E502" s="8" t="n">
        <x:v>612</x:v>
      </x:c>
    </x:row>
    <x:row r="503">
      <x:c r="A503" t="str">
        <x:v>EXP00534</x:v>
      </x:c>
      <x:c r="B503" s="6" t="d">
        <x:v>2025-09-13T00:00:00.000Z</x:v>
      </x:c>
      <x:c r="C503" t="str">
        <x:v>Marketing</x:v>
      </x:c>
      <x:c r="D503" t="str">
        <x:v>Marketing vendor 1</x:v>
      </x:c>
      <x:c r="E503" s="8" t="n">
        <x:v>2219</x:v>
      </x:c>
    </x:row>
    <x:row r="504">
      <x:c r="A504" t="str">
        <x:v>EXP00488</x:v>
      </x:c>
      <x:c r="B504" s="6" t="d">
        <x:v>2025-09-14T00:00:00.000Z</x:v>
      </x:c>
      <x:c r="C504" t="str">
        <x:v>Utilities</x:v>
      </x:c>
      <x:c r="D504" t="str">
        <x:v>Utilities vendor 1</x:v>
      </x:c>
      <x:c r="E504" s="8" t="n">
        <x:v>3403</x:v>
      </x:c>
    </x:row>
    <x:row r="505">
      <x:c r="A505" t="str">
        <x:v>EXP00495</x:v>
      </x:c>
      <x:c r="B505" s="6" t="d">
        <x:v>2025-09-15T00:00:00.000Z</x:v>
      </x:c>
      <x:c r="C505" t="str">
        <x:v>Software</x:v>
      </x:c>
      <x:c r="D505" t="str">
        <x:v>Software vendor 1</x:v>
      </x:c>
      <x:c r="E505" s="8" t="n">
        <x:v>3506</x:v>
      </x:c>
    </x:row>
    <x:row r="506">
      <x:c r="A506" t="str">
        <x:v>EXP00529</x:v>
      </x:c>
      <x:c r="B506" s="6" t="d">
        <x:v>2025-09-15T00:00:00.000Z</x:v>
      </x:c>
      <x:c r="C506" t="str">
        <x:v>Office supplies</x:v>
      </x:c>
      <x:c r="D506" t="str">
        <x:v>Office supplies vendor 1</x:v>
      </x:c>
      <x:c r="E506" s="8" t="n">
        <x:v>710</x:v>
      </x:c>
    </x:row>
    <x:row r="507">
      <x:c r="A507" t="str">
        <x:v>EXP00492</x:v>
      </x:c>
      <x:c r="B507" s="6" t="d">
        <x:v>2025-09-16T00:00:00.000Z</x:v>
      </x:c>
      <x:c r="C507" t="str">
        <x:v>Software</x:v>
      </x:c>
      <x:c r="D507" t="str">
        <x:v>Software vendor 1</x:v>
      </x:c>
      <x:c r="E507" s="8" t="n">
        <x:v>4259</x:v>
      </x:c>
    </x:row>
    <x:row r="508">
      <x:c r="A508" t="str">
        <x:v>EXP00499</x:v>
      </x:c>
      <x:c r="B508" s="6" t="d">
        <x:v>2025-09-16T00:00:00.000Z</x:v>
      </x:c>
      <x:c r="C508" t="str">
        <x:v>Travel</x:v>
      </x:c>
      <x:c r="D508" t="str">
        <x:v>Travel vendor 3</x:v>
      </x:c>
      <x:c r="E508" s="8" t="n">
        <x:v>1539</x:v>
      </x:c>
    </x:row>
    <x:row r="509">
      <x:c r="A509" t="str">
        <x:v>EXP00538</x:v>
      </x:c>
      <x:c r="B509" s="6" t="d">
        <x:v>2025-09-16T00:00:00.000Z</x:v>
      </x:c>
      <x:c r="C509" t="str">
        <x:v>Marketing</x:v>
      </x:c>
      <x:c r="D509" t="str">
        <x:v>Marketing vendor 2</x:v>
      </x:c>
      <x:c r="E509" s="8" t="n">
        <x:v>2981</x:v>
      </x:c>
    </x:row>
    <x:row r="510">
      <x:c r="A510" t="str">
        <x:v>EXP00482</x:v>
      </x:c>
      <x:c r="B510" s="6" t="d">
        <x:v>2025-09-18T00:00:00.000Z</x:v>
      </x:c>
      <x:c r="C510" t="str">
        <x:v>Salaries</x:v>
      </x:c>
      <x:c r="D510" t="str">
        <x:v>Salaries vendor 1</x:v>
      </x:c>
      <x:c r="E510" s="8" t="n">
        <x:v>33395</x:v>
      </x:c>
    </x:row>
    <x:row r="511">
      <x:c r="A511" t="str">
        <x:v>EXP00496</x:v>
      </x:c>
      <x:c r="B511" s="6" t="d">
        <x:v>2025-09-18T00:00:00.000Z</x:v>
      </x:c>
      <x:c r="C511" t="str">
        <x:v>Software</x:v>
      </x:c>
      <x:c r="D511" t="str">
        <x:v>Software vendor 2</x:v>
      </x:c>
      <x:c r="E511" s="8" t="n">
        <x:v>4834</x:v>
      </x:c>
    </x:row>
    <x:row r="512">
      <x:c r="A512" t="str">
        <x:v>EXP00518</x:v>
      </x:c>
      <x:c r="B512" s="6" t="d">
        <x:v>2025-09-18T00:00:00.000Z</x:v>
      </x:c>
      <x:c r="C512" t="str">
        <x:v>Meals</x:v>
      </x:c>
      <x:c r="D512" t="str">
        <x:v>Meals vendor 3</x:v>
      </x:c>
      <x:c r="E512" s="8" t="n">
        <x:v>482</x:v>
      </x:c>
    </x:row>
    <x:row r="513">
      <x:c r="A513" t="str">
        <x:v>EXP00540</x:v>
      </x:c>
      <x:c r="B513" s="6" t="d">
        <x:v>2025-09-19T00:00:00.000Z</x:v>
      </x:c>
      <x:c r="C513" t="str">
        <x:v>Marketing</x:v>
      </x:c>
      <x:c r="D513" t="str">
        <x:v>Marketing vendor 1</x:v>
      </x:c>
      <x:c r="E513" s="8" t="n">
        <x:v>1876</x:v>
      </x:c>
    </x:row>
    <x:row r="514">
      <x:c r="A514" t="str">
        <x:v>EXP00487</x:v>
      </x:c>
      <x:c r="B514" s="6" t="d">
        <x:v>2025-09-20T00:00:00.000Z</x:v>
      </x:c>
      <x:c r="C514" t="str">
        <x:v>Salaries</x:v>
      </x:c>
      <x:c r="D514" t="str">
        <x:v>Salaries vendor 3</x:v>
      </x:c>
      <x:c r="E514" s="8" t="n">
        <x:v>20414</x:v>
      </x:c>
    </x:row>
    <x:row r="515">
      <x:c r="A515" t="str">
        <x:v>EXP00508</x:v>
      </x:c>
      <x:c r="B515" s="6" t="d">
        <x:v>2025-09-20T00:00:00.000Z</x:v>
      </x:c>
      <x:c r="C515" t="str">
        <x:v>Meals</x:v>
      </x:c>
      <x:c r="D515" t="str">
        <x:v>Meals vendor 2</x:v>
      </x:c>
      <x:c r="E515" s="8" t="n">
        <x:v>527</x:v>
      </x:c>
    </x:row>
    <x:row r="516">
      <x:c r="A516" t="str">
        <x:v>EXP00532</x:v>
      </x:c>
      <x:c r="B516" s="6" t="d">
        <x:v>2025-09-20T00:00:00.000Z</x:v>
      </x:c>
      <x:c r="C516" t="str">
        <x:v>Marketing</x:v>
      </x:c>
      <x:c r="D516" t="str">
        <x:v>Marketing vendor 2</x:v>
      </x:c>
      <x:c r="E516" s="8" t="n">
        <x:v>1527</x:v>
      </x:c>
    </x:row>
    <x:row r="517">
      <x:c r="A517" t="str">
        <x:v>EXP00535</x:v>
      </x:c>
      <x:c r="B517" s="6" t="d">
        <x:v>2025-09-20T00:00:00.000Z</x:v>
      </x:c>
      <x:c r="C517" t="str">
        <x:v>Marketing</x:v>
      </x:c>
      <x:c r="D517" t="str">
        <x:v>Marketing vendor 2</x:v>
      </x:c>
      <x:c r="E517" s="8" t="n">
        <x:v>2447</x:v>
      </x:c>
    </x:row>
    <x:row r="518">
      <x:c r="A518" t="str">
        <x:v>EXP00511</x:v>
      </x:c>
      <x:c r="B518" s="6" t="d">
        <x:v>2025-09-21T00:00:00.000Z</x:v>
      </x:c>
      <x:c r="C518" t="str">
        <x:v>Meals</x:v>
      </x:c>
      <x:c r="D518" t="str">
        <x:v>Meals vendor 2</x:v>
      </x:c>
      <x:c r="E518" s="8" t="n">
        <x:v>577</x:v>
      </x:c>
    </x:row>
    <x:row r="519">
      <x:c r="A519" t="str">
        <x:v>EXP00521</x:v>
      </x:c>
      <x:c r="B519" s="6" t="d">
        <x:v>2025-09-21T00:00:00.000Z</x:v>
      </x:c>
      <x:c r="C519" t="str">
        <x:v>Meals</x:v>
      </x:c>
      <x:c r="D519" t="str">
        <x:v>Meals vendor 3</x:v>
      </x:c>
      <x:c r="E519" s="8" t="n">
        <x:v>514</x:v>
      </x:c>
    </x:row>
    <x:row r="520">
      <x:c r="A520" t="str">
        <x:v>EXP00525</x:v>
      </x:c>
      <x:c r="B520" s="6" t="d">
        <x:v>2025-09-21T00:00:00.000Z</x:v>
      </x:c>
      <x:c r="C520" t="str">
        <x:v>Office supplies</x:v>
      </x:c>
      <x:c r="D520" t="str">
        <x:v>Office supplies vendor 3</x:v>
      </x:c>
      <x:c r="E520" s="8" t="n">
        <x:v>1091</x:v>
      </x:c>
    </x:row>
    <x:row r="521">
      <x:c r="A521" t="str">
        <x:v>EXP00505</x:v>
      </x:c>
      <x:c r="B521" s="6" t="d">
        <x:v>2025-09-22T00:00:00.000Z</x:v>
      </x:c>
      <x:c r="C521" t="str">
        <x:v>Travel</x:v>
      </x:c>
      <x:c r="D521" t="str">
        <x:v>Travel vendor 3</x:v>
      </x:c>
      <x:c r="E521" s="8" t="n">
        <x:v>2379</x:v>
      </x:c>
    </x:row>
    <x:row r="522">
      <x:c r="A522" t="str">
        <x:v>EXP00516</x:v>
      </x:c>
      <x:c r="B522" s="6" t="d">
        <x:v>2025-09-22T00:00:00.000Z</x:v>
      </x:c>
      <x:c r="C522" t="str">
        <x:v>Meals</x:v>
      </x:c>
      <x:c r="D522" t="str">
        <x:v>Meals vendor 1</x:v>
      </x:c>
      <x:c r="E522" s="8" t="n">
        <x:v>507</x:v>
      </x:c>
    </x:row>
    <x:row r="523">
      <x:c r="A523" t="str">
        <x:v>EXP00536</x:v>
      </x:c>
      <x:c r="B523" s="6" t="d">
        <x:v>2025-09-22T00:00:00.000Z</x:v>
      </x:c>
      <x:c r="C523" t="str">
        <x:v>Marketing</x:v>
      </x:c>
      <x:c r="D523" t="str">
        <x:v>Marketing vendor 3</x:v>
      </x:c>
      <x:c r="E523" s="8" t="n">
        <x:v>1806</x:v>
      </x:c>
    </x:row>
    <x:row r="524">
      <x:c r="A524" t="str">
        <x:v>EXP00500</x:v>
      </x:c>
      <x:c r="B524" s="6" t="d">
        <x:v>2025-09-23T00:00:00.000Z</x:v>
      </x:c>
      <x:c r="C524" t="str">
        <x:v>Travel</x:v>
      </x:c>
      <x:c r="D524" t="str">
        <x:v>Travel vendor 1</x:v>
      </x:c>
      <x:c r="E524" s="8" t="n">
        <x:v>2514</x:v>
      </x:c>
    </x:row>
    <x:row r="525">
      <x:c r="A525" t="str">
        <x:v>EXP00509</x:v>
      </x:c>
      <x:c r="B525" s="6" t="d">
        <x:v>2025-09-23T00:00:00.000Z</x:v>
      </x:c>
      <x:c r="C525" t="str">
        <x:v>Meals</x:v>
      </x:c>
      <x:c r="D525" t="str">
        <x:v>Meals vendor 3</x:v>
      </x:c>
      <x:c r="E525" s="8" t="n">
        <x:v>284</x:v>
      </x:c>
    </x:row>
    <x:row r="526">
      <x:c r="A526" t="str">
        <x:v>EXP00522</x:v>
      </x:c>
      <x:c r="B526" s="6" t="d">
        <x:v>2025-09-23T00:00:00.000Z</x:v>
      </x:c>
      <x:c r="C526" t="str">
        <x:v>Meals</x:v>
      </x:c>
      <x:c r="D526" t="str">
        <x:v>Meals vendor 1</x:v>
      </x:c>
      <x:c r="E526" s="8" t="n">
        <x:v>778</x:v>
      </x:c>
    </x:row>
    <x:row r="527">
      <x:c r="A527" t="str">
        <x:v>EXP00526</x:v>
      </x:c>
      <x:c r="B527" s="6" t="d">
        <x:v>2025-09-23T00:00:00.000Z</x:v>
      </x:c>
      <x:c r="C527" t="str">
        <x:v>Office supplies</x:v>
      </x:c>
      <x:c r="D527" t="str">
        <x:v>Office supplies vendor 1</x:v>
      </x:c>
      <x:c r="E527" s="8" t="n">
        <x:v>718</x:v>
      </x:c>
    </x:row>
    <x:row r="528">
      <x:c r="A528" t="str">
        <x:v>EXP00498</x:v>
      </x:c>
      <x:c r="B528" s="6" t="d">
        <x:v>2025-09-24T00:00:00.000Z</x:v>
      </x:c>
      <x:c r="C528" t="str">
        <x:v>Travel</x:v>
      </x:c>
      <x:c r="D528" t="str">
        <x:v>Travel vendor 2</x:v>
      </x:c>
      <x:c r="E528" s="8" t="n">
        <x:v>2216</x:v>
      </x:c>
    </x:row>
    <x:row r="529">
      <x:c r="A529" t="str">
        <x:v>EXP00524</x:v>
      </x:c>
      <x:c r="B529" s="6" t="d">
        <x:v>2025-09-25T00:00:00.000Z</x:v>
      </x:c>
      <x:c r="C529" t="str">
        <x:v>Office supplies</x:v>
      </x:c>
      <x:c r="D529" t="str">
        <x:v>Office supplies vendor 2</x:v>
      </x:c>
      <x:c r="E529" s="8" t="n">
        <x:v>1017</x:v>
      </x:c>
    </x:row>
    <x:row r="530">
      <x:c r="A530" t="str">
        <x:v>EXP00491</x:v>
      </x:c>
      <x:c r="B530" s="6" t="d">
        <x:v>2025-09-26T00:00:00.000Z</x:v>
      </x:c>
      <x:c r="C530" t="str">
        <x:v>Utilities</x:v>
      </x:c>
      <x:c r="D530" t="str">
        <x:v>Utilities vendor 1</x:v>
      </x:c>
      <x:c r="E530" s="8" t="n">
        <x:v>3183</x:v>
      </x:c>
    </x:row>
    <x:row r="531">
      <x:c r="A531" t="str">
        <x:v>EXP00502</x:v>
      </x:c>
      <x:c r="B531" s="6" t="d">
        <x:v>2025-09-26T00:00:00.000Z</x:v>
      </x:c>
      <x:c r="C531" t="str">
        <x:v>Travel</x:v>
      </x:c>
      <x:c r="D531" t="str">
        <x:v>Travel vendor 3</x:v>
      </x:c>
      <x:c r="E531" s="8" t="n">
        <x:v>2598</x:v>
      </x:c>
    </x:row>
    <x:row r="532">
      <x:c r="A532" t="str">
        <x:v>EXP00506</x:v>
      </x:c>
      <x:c r="B532" s="6" t="d">
        <x:v>2025-09-26T00:00:00.000Z</x:v>
      </x:c>
      <x:c r="C532" t="str">
        <x:v>Travel</x:v>
      </x:c>
      <x:c r="D532" t="str">
        <x:v>Travel vendor 1</x:v>
      </x:c>
      <x:c r="E532" s="8" t="n">
        <x:v>1598</x:v>
      </x:c>
    </x:row>
    <x:row r="533">
      <x:c r="A533" t="str">
        <x:v>EXP00493</x:v>
      </x:c>
      <x:c r="B533" s="6" t="d">
        <x:v>2025-09-28T00:00:00.000Z</x:v>
      </x:c>
      <x:c r="C533" t="str">
        <x:v>Software</x:v>
      </x:c>
      <x:c r="D533" t="str">
        <x:v>Software vendor 2</x:v>
      </x:c>
      <x:c r="E533" s="8" t="n">
        <x:v>2525</x:v>
      </x:c>
    </x:row>
    <x:row r="534">
      <x:c r="A534" t="str">
        <x:v>EXP00513</x:v>
      </x:c>
      <x:c r="B534" s="6" t="d">
        <x:v>2025-09-28T00:00:00.000Z</x:v>
      </x:c>
      <x:c r="C534" t="str">
        <x:v>Meals</x:v>
      </x:c>
      <x:c r="D534" t="str">
        <x:v>Meals vendor 1</x:v>
      </x:c>
      <x:c r="E534" s="8" t="n">
        <x:v>728</x:v>
      </x:c>
    </x:row>
    <x:row r="535">
      <x:c r="A535" t="str">
        <x:v>EXP00515</x:v>
      </x:c>
      <x:c r="B535" s="6" t="d">
        <x:v>2025-09-28T00:00:00.000Z</x:v>
      </x:c>
      <x:c r="C535" t="str">
        <x:v>Meals</x:v>
      </x:c>
      <x:c r="D535" t="str">
        <x:v>Meals vendor 3</x:v>
      </x:c>
      <x:c r="E535" s="8" t="n">
        <x:v>543</x:v>
      </x:c>
    </x:row>
    <x:row r="536">
      <x:c r="A536" t="str">
        <x:v>EXP00517</x:v>
      </x:c>
      <x:c r="B536" s="6" t="d">
        <x:v>2025-09-28T00:00:00.000Z</x:v>
      </x:c>
      <x:c r="C536" t="str">
        <x:v>Meals</x:v>
      </x:c>
      <x:c r="D536" t="str">
        <x:v>Meals vendor 2</x:v>
      </x:c>
      <x:c r="E536" s="8" t="n">
        <x:v>648</x:v>
      </x:c>
    </x:row>
    <x:row r="537">
      <x:c r="A537" t="str">
        <x:v>EXP00527</x:v>
      </x:c>
      <x:c r="B537" s="6" t="d">
        <x:v>2025-09-28T00:00:00.000Z</x:v>
      </x:c>
      <x:c r="C537" t="str">
        <x:v>Office supplies</x:v>
      </x:c>
      <x:c r="D537" t="str">
        <x:v>Office supplies vendor 2</x:v>
      </x:c>
      <x:c r="E537" s="8" t="n">
        <x:v>1157</x:v>
      </x:c>
    </x:row>
    <x:row r="538">
      <x:c r="A538" t="str">
        <x:v>EXP00533</x:v>
      </x:c>
      <x:c r="B538" s="6" t="d">
        <x:v>2025-09-28T00:00:00.000Z</x:v>
      </x:c>
      <x:c r="C538" t="str">
        <x:v>Marketing</x:v>
      </x:c>
      <x:c r="D538" t="str">
        <x:v>Marketing vendor 3</x:v>
      </x:c>
      <x:c r="E538" s="8" t="n">
        <x:v>3625</x:v>
      </x:c>
    </x:row>
    <x:row r="539">
      <x:c r="A539" t="str">
        <x:v>EXP00481</x:v>
      </x:c>
      <x:c r="B539" s="6" t="d">
        <x:v>2025-09-30T00:00:00.000Z</x:v>
      </x:c>
      <x:c r="C539" t="str">
        <x:v>Rent</x:v>
      </x:c>
      <x:c r="D539" t="str">
        <x:v>Rent vendor 1</x:v>
      </x:c>
      <x:c r="E539" s="8" t="n">
        <x:v>40000</x:v>
      </x:c>
    </x:row>
    <x:row r="540">
      <x:c r="A540" t="str">
        <x:v>EXP00486</x:v>
      </x:c>
      <x:c r="B540" s="6" t="d">
        <x:v>2025-09-30T00:00:00.000Z</x:v>
      </x:c>
      <x:c r="C540" t="str">
        <x:v>Salaries</x:v>
      </x:c>
      <x:c r="D540" t="str">
        <x:v>Salaries vendor 2</x:v>
      </x:c>
      <x:c r="E540" s="8" t="n">
        <x:v>40631</x:v>
      </x:c>
    </x:row>
    <x:row r="541">
      <x:c r="A541" t="str">
        <x:v>EXP00490</x:v>
      </x:c>
      <x:c r="B541" s="6" t="d">
        <x:v>2025-09-30T00:00:00.000Z</x:v>
      </x:c>
      <x:c r="C541" t="str">
        <x:v>Utilities</x:v>
      </x:c>
      <x:c r="D541" t="str">
        <x:v>Utilities vendor 3</x:v>
      </x:c>
      <x:c r="E541" s="8" t="n">
        <x:v>1915</x:v>
      </x:c>
    </x:row>
    <x:row r="542">
      <x:c r="A542" t="str">
        <x:v>EXP00501</x:v>
      </x:c>
      <x:c r="B542" s="6" t="d">
        <x:v>2025-09-30T00:00:00.000Z</x:v>
      </x:c>
      <x:c r="C542" t="str">
        <x:v>Travel</x:v>
      </x:c>
      <x:c r="D542" t="str">
        <x:v>Travel vendor 2</x:v>
      </x:c>
      <x:c r="E542" s="8" t="n">
        <x:v>2403</x:v>
      </x:c>
    </x:row>
    <x:row r="543">
      <x:c r="A543" t="str">
        <x:v>EXP00539</x:v>
      </x:c>
      <x:c r="B543" s="6" t="d">
        <x:v>2025-09-30T00:00:00.000Z</x:v>
      </x:c>
      <x:c r="C543" t="str">
        <x:v>Marketing</x:v>
      </x:c>
      <x:c r="D543" t="str">
        <x:v>Marketing vendor 3</x:v>
      </x:c>
      <x:c r="E543" s="8" t="n">
        <x:v>3615</x:v>
      </x:c>
    </x:row>
    <x:row r="544">
      <x:c r="A544" t="str">
        <x:v>EXP00556</x:v>
      </x:c>
      <x:c r="B544" s="6" t="d">
        <x:v>2025-10-01T00:00:00.000Z</x:v>
      </x:c>
      <x:c r="C544" t="str">
        <x:v>Software</x:v>
      </x:c>
      <x:c r="D544" t="str">
        <x:v>Software vendor 2</x:v>
      </x:c>
      <x:c r="E544" s="8" t="n">
        <x:v>2721</x:v>
      </x:c>
    </x:row>
    <x:row r="545">
      <x:c r="A545" t="str">
        <x:v>EXP00585</x:v>
      </x:c>
      <x:c r="B545" s="6" t="d">
        <x:v>2025-10-01T00:00:00.000Z</x:v>
      </x:c>
      <x:c r="C545" t="str">
        <x:v>Office supplies</x:v>
      </x:c>
      <x:c r="D545" t="str">
        <x:v>Office supplies vendor 3</x:v>
      </x:c>
      <x:c r="E545" s="8" t="n">
        <x:v>1000</x:v>
      </x:c>
    </x:row>
    <x:row r="546">
      <x:c r="A546" t="str">
        <x:v>EXP00544</x:v>
      </x:c>
      <x:c r="B546" s="6" t="d">
        <x:v>2025-10-03T00:00:00.000Z</x:v>
      </x:c>
      <x:c r="C546" t="str">
        <x:v>Salaries</x:v>
      </x:c>
      <x:c r="D546" t="str">
        <x:v>Salaries vendor 3</x:v>
      </x:c>
      <x:c r="E546" s="8" t="n">
        <x:v>32735</x:v>
      </x:c>
    </x:row>
    <x:row r="547">
      <x:c r="A547" t="str">
        <x:v>EXP00593</x:v>
      </x:c>
      <x:c r="B547" s="6" t="d">
        <x:v>2025-10-03T00:00:00.000Z</x:v>
      </x:c>
      <x:c r="C547" t="str">
        <x:v>Marketing</x:v>
      </x:c>
      <x:c r="D547" t="str">
        <x:v>Marketing vendor 3</x:v>
      </x:c>
      <x:c r="E547" s="8" t="n">
        <x:v>4153</x:v>
      </x:c>
    </x:row>
    <x:row r="548">
      <x:c r="A548" t="str">
        <x:v>EXP00581</x:v>
      </x:c>
      <x:c r="B548" s="6" t="d">
        <x:v>2025-10-04T00:00:00.000Z</x:v>
      </x:c>
      <x:c r="C548" t="str">
        <x:v>Meals</x:v>
      </x:c>
      <x:c r="D548" t="str">
        <x:v>Meals vendor 3</x:v>
      </x:c>
      <x:c r="E548" s="8" t="n">
        <x:v>567</x:v>
      </x:c>
    </x:row>
    <x:row r="549">
      <x:c r="A549" t="str">
        <x:v>EXP00588</x:v>
      </x:c>
      <x:c r="B549" s="6" t="d">
        <x:v>2025-10-04T00:00:00.000Z</x:v>
      </x:c>
      <x:c r="C549" t="str">
        <x:v>Office supplies</x:v>
      </x:c>
      <x:c r="D549" t="str">
        <x:v>Office supplies vendor 3</x:v>
      </x:c>
      <x:c r="E549" s="8" t="n">
        <x:v>1079</x:v>
      </x:c>
    </x:row>
    <x:row r="550">
      <x:c r="A550" t="str">
        <x:v>EXP00543</x:v>
      </x:c>
      <x:c r="B550" s="6" t="d">
        <x:v>2025-10-06T00:00:00.000Z</x:v>
      </x:c>
      <x:c r="C550" t="str">
        <x:v>Salaries</x:v>
      </x:c>
      <x:c r="D550" t="str">
        <x:v>Salaries vendor 2</x:v>
      </x:c>
      <x:c r="E550" s="8" t="n">
        <x:v>26920</x:v>
      </x:c>
    </x:row>
    <x:row r="551">
      <x:c r="A551" t="str">
        <x:v>EXP00568</x:v>
      </x:c>
      <x:c r="B551" s="6" t="d">
        <x:v>2025-10-06T00:00:00.000Z</x:v>
      </x:c>
      <x:c r="C551" t="str">
        <x:v>Meals</x:v>
      </x:c>
      <x:c r="D551" t="str">
        <x:v>Meals vendor 2</x:v>
      </x:c>
      <x:c r="E551" s="8" t="n">
        <x:v>772</x:v>
      </x:c>
    </x:row>
    <x:row r="552">
      <x:c r="A552" t="str">
        <x:v>EXP00549</x:v>
      </x:c>
      <x:c r="B552" s="6" t="d">
        <x:v>2025-10-07T00:00:00.000Z</x:v>
      </x:c>
      <x:c r="C552" t="str">
        <x:v>Utilities</x:v>
      </x:c>
      <x:c r="D552" t="str">
        <x:v>Utilities vendor 2</x:v>
      </x:c>
      <x:c r="E552" s="8" t="n">
        <x:v>4832</x:v>
      </x:c>
    </x:row>
    <x:row r="553">
      <x:c r="A553" t="str">
        <x:v>EXP00558</x:v>
      </x:c>
      <x:c r="B553" s="6" t="d">
        <x:v>2025-10-07T00:00:00.000Z</x:v>
      </x:c>
      <x:c r="C553" t="str">
        <x:v>Travel</x:v>
      </x:c>
      <x:c r="D553" t="str">
        <x:v>Travel vendor 2</x:v>
      </x:c>
      <x:c r="E553" s="8" t="n">
        <x:v>2402</x:v>
      </x:c>
    </x:row>
    <x:row r="554">
      <x:c r="A554" t="str">
        <x:v>EXP00591</x:v>
      </x:c>
      <x:c r="B554" s="6" t="d">
        <x:v>2025-10-08T00:00:00.000Z</x:v>
      </x:c>
      <x:c r="C554" t="str">
        <x:v>Marketing</x:v>
      </x:c>
      <x:c r="D554" t="str">
        <x:v>Marketing vendor 1</x:v>
      </x:c>
      <x:c r="E554" s="8" t="n">
        <x:v>3681</x:v>
      </x:c>
    </x:row>
    <x:row r="555">
      <x:c r="A555" t="str">
        <x:v>EXP00555</x:v>
      </x:c>
      <x:c r="B555" s="6" t="d">
        <x:v>2025-10-09T00:00:00.000Z</x:v>
      </x:c>
      <x:c r="C555" t="str">
        <x:v>Software</x:v>
      </x:c>
      <x:c r="D555" t="str">
        <x:v>Software vendor 1</x:v>
      </x:c>
      <x:c r="E555" s="8" t="n">
        <x:v>5109</x:v>
      </x:c>
    </x:row>
    <x:row r="556">
      <x:c r="A556" t="str">
        <x:v>EXP00560</x:v>
      </x:c>
      <x:c r="B556" s="6" t="d">
        <x:v>2025-10-09T00:00:00.000Z</x:v>
      </x:c>
      <x:c r="C556" t="str">
        <x:v>Travel</x:v>
      </x:c>
      <x:c r="D556" t="str">
        <x:v>Travel vendor 1</x:v>
      </x:c>
      <x:c r="E556" s="8" t="n">
        <x:v>2135</x:v>
      </x:c>
    </x:row>
    <x:row r="557">
      <x:c r="A557" t="str">
        <x:v>EXP00569</x:v>
      </x:c>
      <x:c r="B557" s="6" t="d">
        <x:v>2025-10-09T00:00:00.000Z</x:v>
      </x:c>
      <x:c r="C557" t="str">
        <x:v>Meals</x:v>
      </x:c>
      <x:c r="D557" t="str">
        <x:v>Meals vendor 3</x:v>
      </x:c>
      <x:c r="E557" s="8" t="n">
        <x:v>631</x:v>
      </x:c>
    </x:row>
    <x:row r="558">
      <x:c r="A558" t="str">
        <x:v>EXP00586</x:v>
      </x:c>
      <x:c r="B558" s="6" t="d">
        <x:v>2025-10-09T00:00:00.000Z</x:v>
      </x:c>
      <x:c r="C558" t="str">
        <x:v>Office supplies</x:v>
      </x:c>
      <x:c r="D558" t="str">
        <x:v>Office supplies vendor 1</x:v>
      </x:c>
      <x:c r="E558" s="8" t="n">
        <x:v>900</x:v>
      </x:c>
    </x:row>
    <x:row r="559">
      <x:c r="A559" t="str">
        <x:v>EXP00548</x:v>
      </x:c>
      <x:c r="B559" s="6" t="d">
        <x:v>2025-10-10T00:00:00.000Z</x:v>
      </x:c>
      <x:c r="C559" t="str">
        <x:v>Utilities</x:v>
      </x:c>
      <x:c r="D559" t="str">
        <x:v>Utilities vendor 1</x:v>
      </x:c>
      <x:c r="E559" s="8" t="n">
        <x:v>2641</x:v>
      </x:c>
    </x:row>
    <x:row r="560">
      <x:c r="A560" t="str">
        <x:v>EXP00576</x:v>
      </x:c>
      <x:c r="B560" s="6" t="d">
        <x:v>2025-10-10T00:00:00.000Z</x:v>
      </x:c>
      <x:c r="C560" t="str">
        <x:v>Meals</x:v>
      </x:c>
      <x:c r="D560" t="str">
        <x:v>Meals vendor 1</x:v>
      </x:c>
      <x:c r="E560" s="8" t="n">
        <x:v>686</x:v>
      </x:c>
    </x:row>
    <x:row r="561">
      <x:c r="A561" t="str">
        <x:v>EXP00599</x:v>
      </x:c>
      <x:c r="B561" s="6" t="d">
        <x:v>2025-10-10T00:00:00.000Z</x:v>
      </x:c>
      <x:c r="C561" t="str">
        <x:v>Marketing</x:v>
      </x:c>
      <x:c r="D561" t="str">
        <x:v>Marketing vendor 3</x:v>
      </x:c>
      <x:c r="E561" s="8" t="n">
        <x:v>3333</x:v>
      </x:c>
    </x:row>
    <x:row r="562">
      <x:c r="A562" t="str">
        <x:v>EXP00579</x:v>
      </x:c>
      <x:c r="B562" s="6" t="d">
        <x:v>2025-10-11T00:00:00.000Z</x:v>
      </x:c>
      <x:c r="C562" t="str">
        <x:v>Meals</x:v>
      </x:c>
      <x:c r="D562" t="str">
        <x:v>Meals vendor 1</x:v>
      </x:c>
      <x:c r="E562" s="8" t="n">
        <x:v>572</x:v>
      </x:c>
    </x:row>
    <x:row r="563">
      <x:c r="A563" t="str">
        <x:v>EXP00547</x:v>
      </x:c>
      <x:c r="B563" s="6" t="d">
        <x:v>2025-10-12T00:00:00.000Z</x:v>
      </x:c>
      <x:c r="C563" t="str">
        <x:v>Salaries</x:v>
      </x:c>
      <x:c r="D563" t="str">
        <x:v>Salaries vendor 3</x:v>
      </x:c>
      <x:c r="E563" s="8" t="n">
        <x:v>22096</x:v>
      </x:c>
    </x:row>
    <x:row r="564">
      <x:c r="A564" t="str">
        <x:v>EXP00590</x:v>
      </x:c>
      <x:c r="B564" s="6" t="d">
        <x:v>2025-10-12T00:00:00.000Z</x:v>
      </x:c>
      <x:c r="C564" t="str">
        <x:v>Office supplies</x:v>
      </x:c>
      <x:c r="D564" t="str">
        <x:v>Office supplies vendor 2</x:v>
      </x:c>
      <x:c r="E564" s="8" t="n">
        <x:v>637</x:v>
      </x:c>
    </x:row>
    <x:row r="565">
      <x:c r="A565" t="str">
        <x:v>EXP00550</x:v>
      </x:c>
      <x:c r="B565" s="6" t="d">
        <x:v>2025-10-13T00:00:00.000Z</x:v>
      </x:c>
      <x:c r="C565" t="str">
        <x:v>Utilities</x:v>
      </x:c>
      <x:c r="D565" t="str">
        <x:v>Utilities vendor 3</x:v>
      </x:c>
      <x:c r="E565" s="8" t="n">
        <x:v>3934</x:v>
      </x:c>
    </x:row>
    <x:row r="566">
      <x:c r="A566" t="str">
        <x:v>EXP00554</x:v>
      </x:c>
      <x:c r="B566" s="6" t="d">
        <x:v>2025-10-13T00:00:00.000Z</x:v>
      </x:c>
      <x:c r="C566" t="str">
        <x:v>Software</x:v>
      </x:c>
      <x:c r="D566" t="str">
        <x:v>Software vendor 3</x:v>
      </x:c>
      <x:c r="E566" s="8" t="n">
        <x:v>3678</x:v>
      </x:c>
    </x:row>
    <x:row r="567">
      <x:c r="A567" t="str">
        <x:v>EXP00584</x:v>
      </x:c>
      <x:c r="B567" s="6" t="d">
        <x:v>2025-10-13T00:00:00.000Z</x:v>
      </x:c>
      <x:c r="C567" t="str">
        <x:v>Office supplies</x:v>
      </x:c>
      <x:c r="D567" t="str">
        <x:v>Office supplies vendor 2</x:v>
      </x:c>
      <x:c r="E567" s="8" t="n">
        <x:v>1079</x:v>
      </x:c>
    </x:row>
    <x:row r="568">
      <x:c r="A568" t="str">
        <x:v>EXP00541</x:v>
      </x:c>
      <x:c r="B568" s="6" t="d">
        <x:v>2025-10-15T00:00:00.000Z</x:v>
      </x:c>
      <x:c r="C568" t="str">
        <x:v>Rent</x:v>
      </x:c>
      <x:c r="D568" t="str">
        <x:v>Rent vendor 1</x:v>
      </x:c>
      <x:c r="E568" s="8" t="n">
        <x:v>40000</x:v>
      </x:c>
    </x:row>
    <x:row r="569">
      <x:c r="A569" t="str">
        <x:v>EXP00545</x:v>
      </x:c>
      <x:c r="B569" s="6" t="d">
        <x:v>2025-10-15T00:00:00.000Z</x:v>
      </x:c>
      <x:c r="C569" t="str">
        <x:v>Salaries</x:v>
      </x:c>
      <x:c r="D569" t="str">
        <x:v>Salaries vendor 1</x:v>
      </x:c>
      <x:c r="E569" s="8" t="n">
        <x:v>39246</x:v>
      </x:c>
    </x:row>
    <x:row r="570">
      <x:c r="A570" t="str">
        <x:v>EXP00582</x:v>
      </x:c>
      <x:c r="B570" s="6" t="d">
        <x:v>2025-10-15T00:00:00.000Z</x:v>
      </x:c>
      <x:c r="C570" t="str">
        <x:v>Meals</x:v>
      </x:c>
      <x:c r="D570" t="str">
        <x:v>Meals vendor 1</x:v>
      </x:c>
      <x:c r="E570" s="8" t="n">
        <x:v>776</x:v>
      </x:c>
    </x:row>
    <x:row r="571">
      <x:c r="A571" t="str">
        <x:v>EXP00589</x:v>
      </x:c>
      <x:c r="B571" s="6" t="d">
        <x:v>2025-10-15T00:00:00.000Z</x:v>
      </x:c>
      <x:c r="C571" t="str">
        <x:v>Office supplies</x:v>
      </x:c>
      <x:c r="D571" t="str">
        <x:v>Office supplies vendor 1</x:v>
      </x:c>
      <x:c r="E571" s="8" t="n">
        <x:v>960</x:v>
      </x:c>
    </x:row>
    <x:row r="572">
      <x:c r="A572" t="str">
        <x:v>EXP00596</x:v>
      </x:c>
      <x:c r="B572" s="6" t="d">
        <x:v>2025-10-15T00:00:00.000Z</x:v>
      </x:c>
      <x:c r="C572" t="str">
        <x:v>Marketing</x:v>
      </x:c>
      <x:c r="D572" t="str">
        <x:v>Marketing vendor 3</x:v>
      </x:c>
      <x:c r="E572" s="8" t="n">
        <x:v>2304</x:v>
      </x:c>
    </x:row>
    <x:row r="573">
      <x:c r="A573" t="str">
        <x:v>EXP00573</x:v>
      </x:c>
      <x:c r="B573" s="6" t="d">
        <x:v>2025-10-16T00:00:00.000Z</x:v>
      </x:c>
      <x:c r="C573" t="str">
        <x:v>Meals</x:v>
      </x:c>
      <x:c r="D573" t="str">
        <x:v>Meals vendor 1</x:v>
      </x:c>
      <x:c r="E573" s="8" t="n">
        <x:v>678</x:v>
      </x:c>
    </x:row>
    <x:row r="574">
      <x:c r="A574" t="str">
        <x:v>EXP00542</x:v>
      </x:c>
      <x:c r="B574" s="6" t="d">
        <x:v>2025-10-18T00:00:00.000Z</x:v>
      </x:c>
      <x:c r="C574" t="str">
        <x:v>Salaries</x:v>
      </x:c>
      <x:c r="D574" t="str">
        <x:v>Salaries vendor 1</x:v>
      </x:c>
      <x:c r="E574" s="8" t="n">
        <x:v>31923</x:v>
      </x:c>
    </x:row>
    <x:row r="575">
      <x:c r="A575" t="str">
        <x:v>EXP00587</x:v>
      </x:c>
      <x:c r="B575" s="6" t="d">
        <x:v>2025-10-18T00:00:00.000Z</x:v>
      </x:c>
      <x:c r="C575" t="str">
        <x:v>Office supplies</x:v>
      </x:c>
      <x:c r="D575" t="str">
        <x:v>Office supplies vendor 2</x:v>
      </x:c>
      <x:c r="E575" s="8" t="n">
        <x:v>1089</x:v>
      </x:c>
    </x:row>
    <x:row r="576">
      <x:c r="A576" t="str">
        <x:v>EXP00559</x:v>
      </x:c>
      <x:c r="B576" s="6" t="d">
        <x:v>2025-10-20T00:00:00.000Z</x:v>
      </x:c>
      <x:c r="C576" t="str">
        <x:v>Travel</x:v>
      </x:c>
      <x:c r="D576" t="str">
        <x:v>Travel vendor 3</x:v>
      </x:c>
      <x:c r="E576" s="8" t="n">
        <x:v>1059</x:v>
      </x:c>
    </x:row>
    <x:row r="577">
      <x:c r="A577" t="str">
        <x:v>EXP00557</x:v>
      </x:c>
      <x:c r="B577" s="6" t="d">
        <x:v>2025-10-21T00:00:00.000Z</x:v>
      </x:c>
      <x:c r="C577" t="str">
        <x:v>Travel</x:v>
      </x:c>
      <x:c r="D577" t="str">
        <x:v>Travel vendor 1</x:v>
      </x:c>
      <x:c r="E577" s="8" t="n">
        <x:v>2288</x:v>
      </x:c>
    </x:row>
    <x:row r="578">
      <x:c r="A578" t="str">
        <x:v>EXP00592</x:v>
      </x:c>
      <x:c r="B578" s="6" t="d">
        <x:v>2025-10-21T00:00:00.000Z</x:v>
      </x:c>
      <x:c r="C578" t="str">
        <x:v>Marketing</x:v>
      </x:c>
      <x:c r="D578" t="str">
        <x:v>Marketing vendor 2</x:v>
      </x:c>
      <x:c r="E578" s="8" t="n">
        <x:v>3406</x:v>
      </x:c>
    </x:row>
    <x:row r="579">
      <x:c r="A579" t="str">
        <x:v>EXP00594</x:v>
      </x:c>
      <x:c r="B579" s="6" t="d">
        <x:v>2025-10-21T00:00:00.000Z</x:v>
      </x:c>
      <x:c r="C579" t="str">
        <x:v>Marketing</x:v>
      </x:c>
      <x:c r="D579" t="str">
        <x:v>Marketing vendor 1</x:v>
      </x:c>
      <x:c r="E579" s="8" t="n">
        <x:v>4523</x:v>
      </x:c>
    </x:row>
    <x:row r="580">
      <x:c r="A580" t="str">
        <x:v>EXP00600</x:v>
      </x:c>
      <x:c r="B580" s="6" t="d">
        <x:v>2025-10-21T00:00:00.000Z</x:v>
      </x:c>
      <x:c r="C580" t="str">
        <x:v>Marketing</x:v>
      </x:c>
      <x:c r="D580" t="str">
        <x:v>Marketing vendor 1</x:v>
      </x:c>
      <x:c r="E580" s="8" t="n">
        <x:v>4444</x:v>
      </x:c>
    </x:row>
    <x:row r="581">
      <x:c r="A581" t="str">
        <x:v>EXP00553</x:v>
      </x:c>
      <x:c r="B581" s="6" t="d">
        <x:v>2025-10-22T00:00:00.000Z</x:v>
      </x:c>
      <x:c r="C581" t="str">
        <x:v>Software</x:v>
      </x:c>
      <x:c r="D581" t="str">
        <x:v>Software vendor 2</x:v>
      </x:c>
      <x:c r="E581" s="8" t="n">
        <x:v>3669</x:v>
      </x:c>
    </x:row>
    <x:row r="582">
      <x:c r="A582" t="str">
        <x:v>EXP00561</x:v>
      </x:c>
      <x:c r="B582" s="6" t="d">
        <x:v>2025-10-22T00:00:00.000Z</x:v>
      </x:c>
      <x:c r="C582" t="str">
        <x:v>Travel</x:v>
      </x:c>
      <x:c r="D582" t="str">
        <x:v>Travel vendor 2</x:v>
      </x:c>
      <x:c r="E582" s="8" t="n">
        <x:v>1923</x:v>
      </x:c>
    </x:row>
    <x:row r="583">
      <x:c r="A583" t="str">
        <x:v>EXP00565</x:v>
      </x:c>
      <x:c r="B583" s="6" t="d">
        <x:v>2025-10-22T00:00:00.000Z</x:v>
      </x:c>
      <x:c r="C583" t="str">
        <x:v>Travel</x:v>
      </x:c>
      <x:c r="D583" t="str">
        <x:v>Travel vendor 3</x:v>
      </x:c>
      <x:c r="E583" s="8" t="n">
        <x:v>2136</x:v>
      </x:c>
    </x:row>
    <x:row r="584">
      <x:c r="A584" t="str">
        <x:v>EXP00566</x:v>
      </x:c>
      <x:c r="B584" s="6" t="d">
        <x:v>2025-10-22T00:00:00.000Z</x:v>
      </x:c>
      <x:c r="C584" t="str">
        <x:v>Travel</x:v>
      </x:c>
      <x:c r="D584" t="str">
        <x:v>Travel vendor 1</x:v>
      </x:c>
      <x:c r="E584" s="8" t="n">
        <x:v>1645</x:v>
      </x:c>
    </x:row>
    <x:row r="585">
      <x:c r="A585" t="str">
        <x:v>EXP00598</x:v>
      </x:c>
      <x:c r="B585" s="6" t="d">
        <x:v>2025-10-23T00:00:00.000Z</x:v>
      </x:c>
      <x:c r="C585" t="str">
        <x:v>Marketing</x:v>
      </x:c>
      <x:c r="D585" t="str">
        <x:v>Marketing vendor 2</x:v>
      </x:c>
      <x:c r="E585" s="8" t="n">
        <x:v>4347</x:v>
      </x:c>
    </x:row>
    <x:row r="586">
      <x:c r="A586" t="str">
        <x:v>EXP00563</x:v>
      </x:c>
      <x:c r="B586" s="6" t="d">
        <x:v>2025-10-24T00:00:00.000Z</x:v>
      </x:c>
      <x:c r="C586" t="str">
        <x:v>Travel</x:v>
      </x:c>
      <x:c r="D586" t="str">
        <x:v>Travel vendor 1</x:v>
      </x:c>
      <x:c r="E586" s="8" t="n">
        <x:v>1517</x:v>
      </x:c>
    </x:row>
    <x:row r="587">
      <x:c r="A587" t="str">
        <x:v>EXP00577</x:v>
      </x:c>
      <x:c r="B587" s="6" t="d">
        <x:v>2025-10-24T00:00:00.000Z</x:v>
      </x:c>
      <x:c r="C587" t="str">
        <x:v>Meals</x:v>
      </x:c>
      <x:c r="D587" t="str">
        <x:v>Meals vendor 2</x:v>
      </x:c>
      <x:c r="E587" s="8" t="n">
        <x:v>372</x:v>
      </x:c>
    </x:row>
    <x:row r="588">
      <x:c r="A588" t="str">
        <x:v>EXP00562</x:v>
      </x:c>
      <x:c r="B588" s="6" t="d">
        <x:v>2025-10-25T00:00:00.000Z</x:v>
      </x:c>
      <x:c r="C588" t="str">
        <x:v>Travel</x:v>
      </x:c>
      <x:c r="D588" t="str">
        <x:v>Travel vendor 3</x:v>
      </x:c>
      <x:c r="E588" s="8" t="n">
        <x:v>2709</x:v>
      </x:c>
    </x:row>
    <x:row r="589">
      <x:c r="A589" t="str">
        <x:v>EXP00564</x:v>
      </x:c>
      <x:c r="B589" s="6" t="d">
        <x:v>2025-10-25T00:00:00.000Z</x:v>
      </x:c>
      <x:c r="C589" t="str">
        <x:v>Travel</x:v>
      </x:c>
      <x:c r="D589" t="str">
        <x:v>Travel vendor 2</x:v>
      </x:c>
      <x:c r="E589" s="8" t="n">
        <x:v>2506</x:v>
      </x:c>
    </x:row>
    <x:row r="590">
      <x:c r="A590" t="str">
        <x:v>EXP00575</x:v>
      </x:c>
      <x:c r="B590" s="6" t="d">
        <x:v>2025-10-26T00:00:00.000Z</x:v>
      </x:c>
      <x:c r="C590" t="str">
        <x:v>Meals</x:v>
      </x:c>
      <x:c r="D590" t="str">
        <x:v>Meals vendor 3</x:v>
      </x:c>
      <x:c r="E590" s="8" t="n">
        <x:v>437</x:v>
      </x:c>
    </x:row>
    <x:row r="591">
      <x:c r="A591" t="str">
        <x:v>EXP00580</x:v>
      </x:c>
      <x:c r="B591" s="6" t="d">
        <x:v>2025-10-26T00:00:00.000Z</x:v>
      </x:c>
      <x:c r="C591" t="str">
        <x:v>Meals</x:v>
      </x:c>
      <x:c r="D591" t="str">
        <x:v>Meals vendor 2</x:v>
      </x:c>
      <x:c r="E591" s="8" t="n">
        <x:v>810</x:v>
      </x:c>
    </x:row>
    <x:row r="592">
      <x:c r="A592" t="str">
        <x:v>EXP00583</x:v>
      </x:c>
      <x:c r="B592" s="6" t="d">
        <x:v>2025-10-26T00:00:00.000Z</x:v>
      </x:c>
      <x:c r="C592" t="str">
        <x:v>Office supplies</x:v>
      </x:c>
      <x:c r="D592" t="str">
        <x:v>Office supplies vendor 1</x:v>
      </x:c>
      <x:c r="E592" s="8" t="n">
        <x:v>471</x:v>
      </x:c>
    </x:row>
    <x:row r="593">
      <x:c r="A593" t="str">
        <x:v>EXP00552</x:v>
      </x:c>
      <x:c r="B593" s="6" t="d">
        <x:v>2025-10-27T00:00:00.000Z</x:v>
      </x:c>
      <x:c r="C593" t="str">
        <x:v>Software</x:v>
      </x:c>
      <x:c r="D593" t="str">
        <x:v>Software vendor 1</x:v>
      </x:c>
      <x:c r="E593" s="8" t="n">
        <x:v>2523</x:v>
      </x:c>
    </x:row>
    <x:row r="594">
      <x:c r="A594" t="str">
        <x:v>EXP00567</x:v>
      </x:c>
      <x:c r="B594" s="6" t="d">
        <x:v>2025-10-27T00:00:00.000Z</x:v>
      </x:c>
      <x:c r="C594" t="str">
        <x:v>Meals</x:v>
      </x:c>
      <x:c r="D594" t="str">
        <x:v>Meals vendor 1</x:v>
      </x:c>
      <x:c r="E594" s="8" t="n">
        <x:v>621</x:v>
      </x:c>
    </x:row>
    <x:row r="595">
      <x:c r="A595" t="str">
        <x:v>EXP00571</x:v>
      </x:c>
      <x:c r="B595" s="6" t="d">
        <x:v>2025-10-27T00:00:00.000Z</x:v>
      </x:c>
      <x:c r="C595" t="str">
        <x:v>Meals</x:v>
      </x:c>
      <x:c r="D595" t="str">
        <x:v>Meals vendor 2</x:v>
      </x:c>
      <x:c r="E595" s="8" t="n">
        <x:v>518</x:v>
      </x:c>
    </x:row>
    <x:row r="596">
      <x:c r="A596" t="str">
        <x:v>EXP00595</x:v>
      </x:c>
      <x:c r="B596" s="6" t="d">
        <x:v>2025-10-27T00:00:00.000Z</x:v>
      </x:c>
      <x:c r="C596" t="str">
        <x:v>Marketing</x:v>
      </x:c>
      <x:c r="D596" t="str">
        <x:v>Marketing vendor 2</x:v>
      </x:c>
      <x:c r="E596" s="8" t="n">
        <x:v>1910</x:v>
      </x:c>
    </x:row>
    <x:row r="597">
      <x:c r="A597" t="str">
        <x:v>EXP00551</x:v>
      </x:c>
      <x:c r="B597" s="6" t="d">
        <x:v>2025-10-28T00:00:00.000Z</x:v>
      </x:c>
      <x:c r="C597" t="str">
        <x:v>Utilities</x:v>
      </x:c>
      <x:c r="D597" t="str">
        <x:v>Utilities vendor 1</x:v>
      </x:c>
      <x:c r="E597" s="8" t="n">
        <x:v>3163</x:v>
      </x:c>
    </x:row>
    <x:row r="598">
      <x:c r="A598" t="str">
        <x:v>EXP00578</x:v>
      </x:c>
      <x:c r="B598" s="6" t="d">
        <x:v>2025-10-28T00:00:00.000Z</x:v>
      </x:c>
      <x:c r="C598" t="str">
        <x:v>Meals</x:v>
      </x:c>
      <x:c r="D598" t="str">
        <x:v>Meals vendor 3</x:v>
      </x:c>
      <x:c r="E598" s="8" t="n">
        <x:v>348</x:v>
      </x:c>
    </x:row>
    <x:row r="599">
      <x:c r="A599" t="str">
        <x:v>EXP00570</x:v>
      </x:c>
      <x:c r="B599" s="6" t="d">
        <x:v>2025-10-30T00:00:00.000Z</x:v>
      </x:c>
      <x:c r="C599" t="str">
        <x:v>Meals</x:v>
      </x:c>
      <x:c r="D599" t="str">
        <x:v>Meals vendor 1</x:v>
      </x:c>
      <x:c r="E599" s="8" t="n">
        <x:v>445</x:v>
      </x:c>
    </x:row>
    <x:row r="600">
      <x:c r="A600" t="str">
        <x:v>EXP00597</x:v>
      </x:c>
      <x:c r="B600" s="6" t="d">
        <x:v>2025-10-30T00:00:00.000Z</x:v>
      </x:c>
      <x:c r="C600" t="str">
        <x:v>Marketing</x:v>
      </x:c>
      <x:c r="D600" t="str">
        <x:v>Marketing vendor 1</x:v>
      </x:c>
      <x:c r="E600" s="8" t="n">
        <x:v>1649</x:v>
      </x:c>
    </x:row>
    <x:row r="601">
      <x:c r="A601" t="str">
        <x:v>EXP00546</x:v>
      </x:c>
      <x:c r="B601" s="6" t="d">
        <x:v>2025-10-31T00:00:00.000Z</x:v>
      </x:c>
      <x:c r="C601" t="str">
        <x:v>Salaries</x:v>
      </x:c>
      <x:c r="D601" t="str">
        <x:v>Salaries vendor 2</x:v>
      </x:c>
      <x:c r="E601" s="8" t="n">
        <x:v>27080</x:v>
      </x:c>
    </x:row>
    <x:row r="602">
      <x:c r="A602" t="str">
        <x:v>EXP00572</x:v>
      </x:c>
      <x:c r="B602" s="6" t="d">
        <x:v>2025-10-31T00:00:00.000Z</x:v>
      </x:c>
      <x:c r="C602" t="str">
        <x:v>Meals</x:v>
      </x:c>
      <x:c r="D602" t="str">
        <x:v>Meals vendor 3</x:v>
      </x:c>
      <x:c r="E602" s="8" t="n">
        <x:v>594</x:v>
      </x:c>
    </x:row>
    <x:row r="603">
      <x:c r="A603" t="str">
        <x:v>EXP00574</x:v>
      </x:c>
      <x:c r="B603" s="6" t="d">
        <x:v>2025-10-31T00:00:00.000Z</x:v>
      </x:c>
      <x:c r="C603" t="str">
        <x:v>Meals</x:v>
      </x:c>
      <x:c r="D603" t="str">
        <x:v>Meals vendor 2</x:v>
      </x:c>
      <x:c r="E603" s="8" t="n">
        <x:v>325</x:v>
      </x:c>
    </x:row>
    <x:row r="604">
      <x:c r="A604" t="str">
        <x:v>EXP00617</x:v>
      </x:c>
      <x:c r="B604" s="6" t="d">
        <x:v>2025-11-01T00:00:00.000Z</x:v>
      </x:c>
      <x:c r="C604" t="str">
        <x:v>Travel</x:v>
      </x:c>
      <x:c r="D604" t="str">
        <x:v>Travel vendor 1</x:v>
      </x:c>
      <x:c r="E604" s="8" t="n">
        <x:v>4757</x:v>
      </x:c>
    </x:row>
    <x:row r="605">
      <x:c r="A605" t="str">
        <x:v>EXP00631</x:v>
      </x:c>
      <x:c r="B605" s="6" t="d">
        <x:v>2025-11-01T00:00:00.000Z</x:v>
      </x:c>
      <x:c r="C605" t="str">
        <x:v>Meals</x:v>
      </x:c>
      <x:c r="D605" t="str">
        <x:v>Meals vendor 2</x:v>
      </x:c>
      <x:c r="E605" s="8" t="n">
        <x:v>668</x:v>
      </x:c>
    </x:row>
    <x:row r="606">
      <x:c r="A606" t="str">
        <x:v>EXP00646</x:v>
      </x:c>
      <x:c r="B606" s="6" t="d">
        <x:v>2025-11-01T00:00:00.000Z</x:v>
      </x:c>
      <x:c r="C606" t="str">
        <x:v>Office supplies</x:v>
      </x:c>
      <x:c r="D606" t="str">
        <x:v>Office supplies vendor 1</x:v>
      </x:c>
      <x:c r="E606" s="8" t="n">
        <x:v>487</x:v>
      </x:c>
    </x:row>
    <x:row r="607">
      <x:c r="A607" t="str">
        <x:v>EXP00618</x:v>
      </x:c>
      <x:c r="B607" s="6" t="d">
        <x:v>2025-11-02T00:00:00.000Z</x:v>
      </x:c>
      <x:c r="C607" t="str">
        <x:v>Travel</x:v>
      </x:c>
      <x:c r="D607" t="str">
        <x:v>Travel vendor 2</x:v>
      </x:c>
      <x:c r="E607" s="8" t="n">
        <x:v>2764</x:v>
      </x:c>
    </x:row>
    <x:row r="608">
      <x:c r="A608" t="str">
        <x:v>EXP00634</x:v>
      </x:c>
      <x:c r="B608" s="6" t="d">
        <x:v>2025-11-02T00:00:00.000Z</x:v>
      </x:c>
      <x:c r="C608" t="str">
        <x:v>Meals</x:v>
      </x:c>
      <x:c r="D608" t="str">
        <x:v>Meals vendor 2</x:v>
      </x:c>
      <x:c r="E608" s="8" t="n">
        <x:v>407</x:v>
      </x:c>
    </x:row>
    <x:row r="609">
      <x:c r="A609" t="str">
        <x:v>EXP00647</x:v>
      </x:c>
      <x:c r="B609" s="6" t="d">
        <x:v>2025-11-02T00:00:00.000Z</x:v>
      </x:c>
      <x:c r="C609" t="str">
        <x:v>Office supplies</x:v>
      </x:c>
      <x:c r="D609" t="str">
        <x:v>Office supplies vendor 2</x:v>
      </x:c>
      <x:c r="E609" s="8" t="n">
        <x:v>753</x:v>
      </x:c>
    </x:row>
    <x:row r="610">
      <x:c r="A610" t="str">
        <x:v>EXP00626</x:v>
      </x:c>
      <x:c r="B610" s="6" t="d">
        <x:v>2025-11-03T00:00:00.000Z</x:v>
      </x:c>
      <x:c r="C610" t="str">
        <x:v>Travel</x:v>
      </x:c>
      <x:c r="D610" t="str">
        <x:v>Travel vendor 1</x:v>
      </x:c>
      <x:c r="E610" s="8" t="n">
        <x:v>3533</x:v>
      </x:c>
    </x:row>
    <x:row r="611">
      <x:c r="A611" t="str">
        <x:v>EXP00641</x:v>
      </x:c>
      <x:c r="B611" s="6" t="d">
        <x:v>2025-11-03T00:00:00.000Z</x:v>
      </x:c>
      <x:c r="C611" t="str">
        <x:v>Meals</x:v>
      </x:c>
      <x:c r="D611" t="str">
        <x:v>Meals vendor 3</x:v>
      </x:c>
      <x:c r="E611" s="8" t="n">
        <x:v>331</x:v>
      </x:c>
    </x:row>
    <x:row r="612">
      <x:c r="A612" t="str">
        <x:v>EXP00608</x:v>
      </x:c>
      <x:c r="B612" s="6" t="d">
        <x:v>2025-11-04T00:00:00.000Z</x:v>
      </x:c>
      <x:c r="C612" t="str">
        <x:v>Utilities</x:v>
      </x:c>
      <x:c r="D612" t="str">
        <x:v>Utilities vendor 1</x:v>
      </x:c>
      <x:c r="E612" s="8" t="n">
        <x:v>3532</x:v>
      </x:c>
    </x:row>
    <x:row r="613">
      <x:c r="A613" t="str">
        <x:v>EXP00614</x:v>
      </x:c>
      <x:c r="B613" s="6" t="d">
        <x:v>2025-11-04T00:00:00.000Z</x:v>
      </x:c>
      <x:c r="C613" t="str">
        <x:v>Software</x:v>
      </x:c>
      <x:c r="D613" t="str">
        <x:v>Software vendor 3</x:v>
      </x:c>
      <x:c r="E613" s="8" t="n">
        <x:v>2936</x:v>
      </x:c>
    </x:row>
    <x:row r="614">
      <x:c r="A614" t="str">
        <x:v>EXP00639</x:v>
      </x:c>
      <x:c r="B614" s="6" t="d">
        <x:v>2025-11-04T00:00:00.000Z</x:v>
      </x:c>
      <x:c r="C614" t="str">
        <x:v>Meals</x:v>
      </x:c>
      <x:c r="D614" t="str">
        <x:v>Meals vendor 1</x:v>
      </x:c>
      <x:c r="E614" s="8" t="n">
        <x:v>320</x:v>
      </x:c>
    </x:row>
    <x:row r="615">
      <x:c r="A615" t="str">
        <x:v>EXP00659</x:v>
      </x:c>
      <x:c r="B615" s="6" t="d">
        <x:v>2025-11-04T00:00:00.000Z</x:v>
      </x:c>
      <x:c r="C615" t="str">
        <x:v>Marketing</x:v>
      </x:c>
      <x:c r="D615" t="str">
        <x:v>Marketing vendor 3</x:v>
      </x:c>
      <x:c r="E615" s="8" t="n">
        <x:v>3784</x:v>
      </x:c>
    </x:row>
    <x:row r="616">
      <x:c r="A616" t="str">
        <x:v>EXP00601</x:v>
      </x:c>
      <x:c r="B616" s="6" t="d">
        <x:v>2025-11-05T00:00:00.000Z</x:v>
      </x:c>
      <x:c r="C616" t="str">
        <x:v>Rent</x:v>
      </x:c>
      <x:c r="D616" t="str">
        <x:v>Rent vendor 1</x:v>
      </x:c>
      <x:c r="E616" s="8" t="n">
        <x:v>40000</x:v>
      </x:c>
    </x:row>
    <x:row r="617">
      <x:c r="A617" t="str">
        <x:v>EXP00622</x:v>
      </x:c>
      <x:c r="B617" s="6" t="d">
        <x:v>2025-11-05T00:00:00.000Z</x:v>
      </x:c>
      <x:c r="C617" t="str">
        <x:v>Travel</x:v>
      </x:c>
      <x:c r="D617" t="str">
        <x:v>Travel vendor 3</x:v>
      </x:c>
      <x:c r="E617" s="8" t="n">
        <x:v>4340</x:v>
      </x:c>
    </x:row>
    <x:row r="618">
      <x:c r="A618" t="str">
        <x:v>EXP00635</x:v>
      </x:c>
      <x:c r="B618" s="6" t="d">
        <x:v>2025-11-05T00:00:00.000Z</x:v>
      </x:c>
      <x:c r="C618" t="str">
        <x:v>Meals</x:v>
      </x:c>
      <x:c r="D618" t="str">
        <x:v>Meals vendor 3</x:v>
      </x:c>
      <x:c r="E618" s="8" t="n">
        <x:v>778</x:v>
      </x:c>
    </x:row>
    <x:row r="619">
      <x:c r="A619" t="str">
        <x:v>EXP00632</x:v>
      </x:c>
      <x:c r="B619" s="6" t="d">
        <x:v>2025-11-06T00:00:00.000Z</x:v>
      </x:c>
      <x:c r="C619" t="str">
        <x:v>Meals</x:v>
      </x:c>
      <x:c r="D619" t="str">
        <x:v>Meals vendor 3</x:v>
      </x:c>
      <x:c r="E619" s="8" t="n">
        <x:v>675</x:v>
      </x:c>
    </x:row>
    <x:row r="620">
      <x:c r="A620" t="str">
        <x:v>EXP00625</x:v>
      </x:c>
      <x:c r="B620" s="6" t="d">
        <x:v>2025-11-07T00:00:00.000Z</x:v>
      </x:c>
      <x:c r="C620" t="str">
        <x:v>Travel</x:v>
      </x:c>
      <x:c r="D620" t="str">
        <x:v>Travel vendor 3</x:v>
      </x:c>
      <x:c r="E620" s="8" t="n">
        <x:v>3675</x:v>
      </x:c>
    </x:row>
    <x:row r="621">
      <x:c r="A621" t="str">
        <x:v>EXP00621</x:v>
      </x:c>
      <x:c r="B621" s="6" t="d">
        <x:v>2025-11-08T00:00:00.000Z</x:v>
      </x:c>
      <x:c r="C621" t="str">
        <x:v>Travel</x:v>
      </x:c>
      <x:c r="D621" t="str">
        <x:v>Travel vendor 2</x:v>
      </x:c>
      <x:c r="E621" s="8" t="n">
        <x:v>2003</x:v>
      </x:c>
    </x:row>
    <x:row r="622">
      <x:c r="A622" t="str">
        <x:v>EXP00628</x:v>
      </x:c>
      <x:c r="B622" s="6" t="d">
        <x:v>2025-11-08T00:00:00.000Z</x:v>
      </x:c>
      <x:c r="C622" t="str">
        <x:v>Meals</x:v>
      </x:c>
      <x:c r="D622" t="str">
        <x:v>Meals vendor 2</x:v>
      </x:c>
      <x:c r="E622" s="8" t="n">
        <x:v>569</x:v>
      </x:c>
    </x:row>
    <x:row r="623">
      <x:c r="A623" t="str">
        <x:v>EXP00633</x:v>
      </x:c>
      <x:c r="B623" s="6" t="d">
        <x:v>2025-11-09T00:00:00.000Z</x:v>
      </x:c>
      <x:c r="C623" t="str">
        <x:v>Meals</x:v>
      </x:c>
      <x:c r="D623" t="str">
        <x:v>Meals vendor 1</x:v>
      </x:c>
      <x:c r="E623" s="8" t="n">
        <x:v>574</x:v>
      </x:c>
    </x:row>
    <x:row r="624">
      <x:c r="A624" t="str">
        <x:v>EXP00643</x:v>
      </x:c>
      <x:c r="B624" s="6" t="d">
        <x:v>2025-11-10T00:00:00.000Z</x:v>
      </x:c>
      <x:c r="C624" t="str">
        <x:v>Office supplies</x:v>
      </x:c>
      <x:c r="D624" t="str">
        <x:v>Office supplies vendor 1</x:v>
      </x:c>
      <x:c r="E624" s="8" t="n">
        <x:v>582</x:v>
      </x:c>
    </x:row>
    <x:row r="625">
      <x:c r="A625" t="str">
        <x:v>EXP00654</x:v>
      </x:c>
      <x:c r="B625" s="6" t="d">
        <x:v>2025-11-10T00:00:00.000Z</x:v>
      </x:c>
      <x:c r="C625" t="str">
        <x:v>Marketing</x:v>
      </x:c>
      <x:c r="D625" t="str">
        <x:v>Marketing vendor 1</x:v>
      </x:c>
      <x:c r="E625" s="8" t="n">
        <x:v>4878</x:v>
      </x:c>
    </x:row>
    <x:row r="626">
      <x:c r="A626" t="str">
        <x:v>EXP00620</x:v>
      </x:c>
      <x:c r="B626" s="6" t="d">
        <x:v>2025-11-11T00:00:00.000Z</x:v>
      </x:c>
      <x:c r="C626" t="str">
        <x:v>Travel</x:v>
      </x:c>
      <x:c r="D626" t="str">
        <x:v>Travel vendor 1</x:v>
      </x:c>
      <x:c r="E626" s="8" t="n">
        <x:v>2221</x:v>
      </x:c>
    </x:row>
    <x:row r="627">
      <x:c r="A627" t="str">
        <x:v>EXP00630</x:v>
      </x:c>
      <x:c r="B627" s="6" t="d">
        <x:v>2025-11-11T00:00:00.000Z</x:v>
      </x:c>
      <x:c r="C627" t="str">
        <x:v>Meals</x:v>
      </x:c>
      <x:c r="D627" t="str">
        <x:v>Meals vendor 1</x:v>
      </x:c>
      <x:c r="E627" s="8" t="n">
        <x:v>384</x:v>
      </x:c>
    </x:row>
    <x:row r="628">
      <x:c r="A628" t="str">
        <x:v>EXP00604</x:v>
      </x:c>
      <x:c r="B628" s="6" t="d">
        <x:v>2025-11-12T00:00:00.000Z</x:v>
      </x:c>
      <x:c r="C628" t="str">
        <x:v>Salaries</x:v>
      </x:c>
      <x:c r="D628" t="str">
        <x:v>Salaries vendor 3</x:v>
      </x:c>
      <x:c r="E628" s="8" t="n">
        <x:v>54212</x:v>
      </x:c>
    </x:row>
    <x:row r="629">
      <x:c r="A629" t="str">
        <x:v>EXP00613</x:v>
      </x:c>
      <x:c r="B629" s="6" t="d">
        <x:v>2025-11-12T00:00:00.000Z</x:v>
      </x:c>
      <x:c r="C629" t="str">
        <x:v>Software</x:v>
      </x:c>
      <x:c r="D629" t="str">
        <x:v>Software vendor 2</x:v>
      </x:c>
      <x:c r="E629" s="8" t="n">
        <x:v>1796</x:v>
      </x:c>
    </x:row>
    <x:row r="630">
      <x:c r="A630" t="str">
        <x:v>EXP00616</x:v>
      </x:c>
      <x:c r="B630" s="6" t="d">
        <x:v>2025-11-12T00:00:00.000Z</x:v>
      </x:c>
      <x:c r="C630" t="str">
        <x:v>Software</x:v>
      </x:c>
      <x:c r="D630" t="str">
        <x:v>Software vendor 2</x:v>
      </x:c>
      <x:c r="E630" s="8" t="n">
        <x:v>4892</x:v>
      </x:c>
    </x:row>
    <x:row r="631">
      <x:c r="A631" t="str">
        <x:v>EXP00602</x:v>
      </x:c>
      <x:c r="B631" s="6" t="d">
        <x:v>2025-11-13T00:00:00.000Z</x:v>
      </x:c>
      <x:c r="C631" t="str">
        <x:v>Salaries</x:v>
      </x:c>
      <x:c r="D631" t="str">
        <x:v>Salaries vendor 1</x:v>
      </x:c>
      <x:c r="E631" s="8" t="n">
        <x:v>19763</x:v>
      </x:c>
    </x:row>
    <x:row r="632">
      <x:c r="A632" t="str">
        <x:v>EXP00650</x:v>
      </x:c>
      <x:c r="B632" s="6" t="d">
        <x:v>2025-11-13T00:00:00.000Z</x:v>
      </x:c>
      <x:c r="C632" t="str">
        <x:v>Office supplies</x:v>
      </x:c>
      <x:c r="D632" t="str">
        <x:v>Office supplies vendor 2</x:v>
      </x:c>
      <x:c r="E632" s="8" t="n">
        <x:v>782</x:v>
      </x:c>
    </x:row>
    <x:row r="633">
      <x:c r="A633" t="str">
        <x:v>EXP00651</x:v>
      </x:c>
      <x:c r="B633" s="6" t="d">
        <x:v>2025-11-13T00:00:00.000Z</x:v>
      </x:c>
      <x:c r="C633" t="str">
        <x:v>Marketing</x:v>
      </x:c>
      <x:c r="D633" t="str">
        <x:v>Marketing vendor 1</x:v>
      </x:c>
      <x:c r="E633" s="8" t="n">
        <x:v>2119</x:v>
      </x:c>
    </x:row>
    <x:row r="634">
      <x:c r="A634" t="str">
        <x:v>EXP00637</x:v>
      </x:c>
      <x:c r="B634" s="6" t="d">
        <x:v>2025-11-14T00:00:00.000Z</x:v>
      </x:c>
      <x:c r="C634" t="str">
        <x:v>Meals</x:v>
      </x:c>
      <x:c r="D634" t="str">
        <x:v>Meals vendor 2</x:v>
      </x:c>
      <x:c r="E634" s="8" t="n">
        <x:v>545</x:v>
      </x:c>
    </x:row>
    <x:row r="635">
      <x:c r="A635" t="str">
        <x:v>EXP00658</x:v>
      </x:c>
      <x:c r="B635" s="6" t="d">
        <x:v>2025-11-14T00:00:00.000Z</x:v>
      </x:c>
      <x:c r="C635" t="str">
        <x:v>Marketing</x:v>
      </x:c>
      <x:c r="D635" t="str">
        <x:v>Marketing vendor 2</x:v>
      </x:c>
      <x:c r="E635" s="8" t="n">
        <x:v>3919</x:v>
      </x:c>
    </x:row>
    <x:row r="636">
      <x:c r="A636" t="str">
        <x:v>EXP00603</x:v>
      </x:c>
      <x:c r="B636" s="6" t="d">
        <x:v>2025-11-15T00:00:00.000Z</x:v>
      </x:c>
      <x:c r="C636" t="str">
        <x:v>Salaries</x:v>
      </x:c>
      <x:c r="D636" t="str">
        <x:v>Salaries vendor 2</x:v>
      </x:c>
      <x:c r="E636" s="8" t="n">
        <x:v>19468</x:v>
      </x:c>
    </x:row>
    <x:row r="637">
      <x:c r="A637" t="str">
        <x:v>EXP00644</x:v>
      </x:c>
      <x:c r="B637" s="6" t="d">
        <x:v>2025-11-15T00:00:00.000Z</x:v>
      </x:c>
      <x:c r="C637" t="str">
        <x:v>Office supplies</x:v>
      </x:c>
      <x:c r="D637" t="str">
        <x:v>Office supplies vendor 2</x:v>
      </x:c>
      <x:c r="E637" s="8" t="n">
        <x:v>738</x:v>
      </x:c>
    </x:row>
    <x:row r="638">
      <x:c r="A638" t="str">
        <x:v>EXP00655</x:v>
      </x:c>
      <x:c r="B638" s="6" t="d">
        <x:v>2025-11-15T00:00:00.000Z</x:v>
      </x:c>
      <x:c r="C638" t="str">
        <x:v>Marketing</x:v>
      </x:c>
      <x:c r="D638" t="str">
        <x:v>Marketing vendor 2</x:v>
      </x:c>
      <x:c r="E638" s="8" t="n">
        <x:v>2866</x:v>
      </x:c>
    </x:row>
    <x:row r="639">
      <x:c r="A639" t="str">
        <x:v>EXP00610</x:v>
      </x:c>
      <x:c r="B639" s="6" t="d">
        <x:v>2025-11-16T00:00:00.000Z</x:v>
      </x:c>
      <x:c r="C639" t="str">
        <x:v>Utilities</x:v>
      </x:c>
      <x:c r="D639" t="str">
        <x:v>Utilities vendor 3</x:v>
      </x:c>
      <x:c r="E639" s="8" t="n">
        <x:v>2515</x:v>
      </x:c>
    </x:row>
    <x:row r="640">
      <x:c r="A640" t="str">
        <x:v>EXP00642</x:v>
      </x:c>
      <x:c r="B640" s="6" t="d">
        <x:v>2025-11-16T00:00:00.000Z</x:v>
      </x:c>
      <x:c r="C640" t="str">
        <x:v>Meals</x:v>
      </x:c>
      <x:c r="D640" t="str">
        <x:v>Meals vendor 1</x:v>
      </x:c>
      <x:c r="E640" s="8" t="n">
        <x:v>451</x:v>
      </x:c>
    </x:row>
    <x:row r="641">
      <x:c r="A641" t="str">
        <x:v>EXP00648</x:v>
      </x:c>
      <x:c r="B641" s="6" t="d">
        <x:v>2025-11-16T00:00:00.000Z</x:v>
      </x:c>
      <x:c r="C641" t="str">
        <x:v>Office supplies</x:v>
      </x:c>
      <x:c r="D641" t="str">
        <x:v>Office supplies vendor 3</x:v>
      </x:c>
      <x:c r="E641" s="8" t="n">
        <x:v>828</x:v>
      </x:c>
    </x:row>
    <x:row r="642">
      <x:c r="A642" t="str">
        <x:v>EXP00638</x:v>
      </x:c>
      <x:c r="B642" s="6" t="d">
        <x:v>2025-11-17T00:00:00.000Z</x:v>
      </x:c>
      <x:c r="C642" t="str">
        <x:v>Meals</x:v>
      </x:c>
      <x:c r="D642" t="str">
        <x:v>Meals vendor 3</x:v>
      </x:c>
      <x:c r="E642" s="8" t="n">
        <x:v>681</x:v>
      </x:c>
    </x:row>
    <x:row r="643">
      <x:c r="A643" t="str">
        <x:v>EXP00653</x:v>
      </x:c>
      <x:c r="B643" s="6" t="d">
        <x:v>2025-11-17T00:00:00.000Z</x:v>
      </x:c>
      <x:c r="C643" t="str">
        <x:v>Marketing</x:v>
      </x:c>
      <x:c r="D643" t="str">
        <x:v>Marketing vendor 3</x:v>
      </x:c>
      <x:c r="E643" s="8" t="n">
        <x:v>3289</x:v>
      </x:c>
    </x:row>
    <x:row r="644">
      <x:c r="A644" t="str">
        <x:v>EXP00656</x:v>
      </x:c>
      <x:c r="B644" s="6" t="d">
        <x:v>2025-11-17T00:00:00.000Z</x:v>
      </x:c>
      <x:c r="C644" t="str">
        <x:v>Marketing</x:v>
      </x:c>
      <x:c r="D644" t="str">
        <x:v>Marketing vendor 3</x:v>
      </x:c>
      <x:c r="E644" s="8" t="n">
        <x:v>2260</x:v>
      </x:c>
    </x:row>
    <x:row r="645">
      <x:c r="A645" t="str">
        <x:v>EXP00624</x:v>
      </x:c>
      <x:c r="B645" s="6" t="d">
        <x:v>2025-11-19T00:00:00.000Z</x:v>
      </x:c>
      <x:c r="C645" t="str">
        <x:v>Travel</x:v>
      </x:c>
      <x:c r="D645" t="str">
        <x:v>Travel vendor 2</x:v>
      </x:c>
      <x:c r="E645" s="8" t="n">
        <x:v>3743</x:v>
      </x:c>
    </x:row>
    <x:row r="646">
      <x:c r="A646" t="str">
        <x:v>EXP00629</x:v>
      </x:c>
      <x:c r="B646" s="6" t="d">
        <x:v>2025-11-19T00:00:00.000Z</x:v>
      </x:c>
      <x:c r="C646" t="str">
        <x:v>Meals</x:v>
      </x:c>
      <x:c r="D646" t="str">
        <x:v>Meals vendor 3</x:v>
      </x:c>
      <x:c r="E646" s="8" t="n">
        <x:v>688</x:v>
      </x:c>
    </x:row>
    <x:row r="647">
      <x:c r="A647" t="str">
        <x:v>EXP00611</x:v>
      </x:c>
      <x:c r="B647" s="6" t="d">
        <x:v>2025-11-20T00:00:00.000Z</x:v>
      </x:c>
      <x:c r="C647" t="str">
        <x:v>Utilities</x:v>
      </x:c>
      <x:c r="D647" t="str">
        <x:v>Utilities vendor 1</x:v>
      </x:c>
      <x:c r="E647" s="8" t="n">
        <x:v>3515</x:v>
      </x:c>
    </x:row>
    <x:row r="648">
      <x:c r="A648" t="str">
        <x:v>EXP00652</x:v>
      </x:c>
      <x:c r="B648" s="6" t="d">
        <x:v>2025-11-20T00:00:00.000Z</x:v>
      </x:c>
      <x:c r="C648" t="str">
        <x:v>Marketing</x:v>
      </x:c>
      <x:c r="D648" t="str">
        <x:v>Marketing vendor 2</x:v>
      </x:c>
      <x:c r="E648" s="8" t="n">
        <x:v>4226</x:v>
      </x:c>
    </x:row>
    <x:row r="649">
      <x:c r="A649" t="str">
        <x:v>EXP00657</x:v>
      </x:c>
      <x:c r="B649" s="6" t="d">
        <x:v>2025-11-20T00:00:00.000Z</x:v>
      </x:c>
      <x:c r="C649" t="str">
        <x:v>Marketing</x:v>
      </x:c>
      <x:c r="D649" t="str">
        <x:v>Marketing vendor 1</x:v>
      </x:c>
      <x:c r="E649" s="8" t="n">
        <x:v>2183</x:v>
      </x:c>
    </x:row>
    <x:row r="650">
      <x:c r="A650" t="str">
        <x:v>EXP00645</x:v>
      </x:c>
      <x:c r="B650" s="6" t="d">
        <x:v>2025-11-21T00:00:00.000Z</x:v>
      </x:c>
      <x:c r="C650" t="str">
        <x:v>Office supplies</x:v>
      </x:c>
      <x:c r="D650" t="str">
        <x:v>Office supplies vendor 3</x:v>
      </x:c>
      <x:c r="E650" s="8" t="n">
        <x:v>643</x:v>
      </x:c>
    </x:row>
    <x:row r="651">
      <x:c r="A651" t="str">
        <x:v>EXP00605</x:v>
      </x:c>
      <x:c r="B651" s="6" t="d">
        <x:v>2025-11-22T00:00:00.000Z</x:v>
      </x:c>
      <x:c r="C651" t="str">
        <x:v>Salaries</x:v>
      </x:c>
      <x:c r="D651" t="str">
        <x:v>Salaries vendor 1</x:v>
      </x:c>
      <x:c r="E651" s="8" t="n">
        <x:v>22328</x:v>
      </x:c>
    </x:row>
    <x:row r="652">
      <x:c r="A652" t="str">
        <x:v>EXP00615</x:v>
      </x:c>
      <x:c r="B652" s="6" t="d">
        <x:v>2025-11-22T00:00:00.000Z</x:v>
      </x:c>
      <x:c r="C652" t="str">
        <x:v>Software</x:v>
      </x:c>
      <x:c r="D652" t="str">
        <x:v>Software vendor 1</x:v>
      </x:c>
      <x:c r="E652" s="8" t="n">
        <x:v>3181</x:v>
      </x:c>
    </x:row>
    <x:row r="653">
      <x:c r="A653" t="str">
        <x:v>EXP00607</x:v>
      </x:c>
      <x:c r="B653" s="6" t="d">
        <x:v>2025-11-23T00:00:00.000Z</x:v>
      </x:c>
      <x:c r="C653" t="str">
        <x:v>Salaries</x:v>
      </x:c>
      <x:c r="D653" t="str">
        <x:v>Salaries vendor 3</x:v>
      </x:c>
      <x:c r="E653" s="8" t="n">
        <x:v>37600</x:v>
      </x:c>
    </x:row>
    <x:row r="654">
      <x:c r="A654" t="str">
        <x:v>EXP00606</x:v>
      </x:c>
      <x:c r="B654" s="6" t="d">
        <x:v>2025-11-24T00:00:00.000Z</x:v>
      </x:c>
      <x:c r="C654" t="str">
        <x:v>Salaries</x:v>
      </x:c>
      <x:c r="D654" t="str">
        <x:v>Salaries vendor 2</x:v>
      </x:c>
      <x:c r="E654" s="8" t="n">
        <x:v>26629</x:v>
      </x:c>
    </x:row>
    <x:row r="655">
      <x:c r="A655" t="str">
        <x:v>EXP00636</x:v>
      </x:c>
      <x:c r="B655" s="6" t="d">
        <x:v>2025-11-24T00:00:00.000Z</x:v>
      </x:c>
      <x:c r="C655" t="str">
        <x:v>Meals</x:v>
      </x:c>
      <x:c r="D655" t="str">
        <x:v>Meals vendor 1</x:v>
      </x:c>
      <x:c r="E655" s="8" t="n">
        <x:v>780</x:v>
      </x:c>
    </x:row>
    <x:row r="656">
      <x:c r="A656" t="str">
        <x:v>EXP00640</x:v>
      </x:c>
      <x:c r="B656" s="6" t="d">
        <x:v>2025-11-24T00:00:00.000Z</x:v>
      </x:c>
      <x:c r="C656" t="str">
        <x:v>Meals</x:v>
      </x:c>
      <x:c r="D656" t="str">
        <x:v>Meals vendor 2</x:v>
      </x:c>
      <x:c r="E656" s="8" t="n">
        <x:v>716</x:v>
      </x:c>
    </x:row>
    <x:row r="657">
      <x:c r="A657" t="str">
        <x:v>EXP00619</x:v>
      </x:c>
      <x:c r="B657" s="6" t="d">
        <x:v>2025-11-26T00:00:00.000Z</x:v>
      </x:c>
      <x:c r="C657" t="str">
        <x:v>Travel</x:v>
      </x:c>
      <x:c r="D657" t="str">
        <x:v>Travel vendor 3</x:v>
      </x:c>
      <x:c r="E657" s="8" t="n">
        <x:v>2891</x:v>
      </x:c>
    </x:row>
    <x:row r="658">
      <x:c r="A658" t="str">
        <x:v>EXP00623</x:v>
      </x:c>
      <x:c r="B658" s="6" t="d">
        <x:v>2025-11-26T00:00:00.000Z</x:v>
      </x:c>
      <x:c r="C658" t="str">
        <x:v>Travel</x:v>
      </x:c>
      <x:c r="D658" t="str">
        <x:v>Travel vendor 1</x:v>
      </x:c>
      <x:c r="E658" s="8" t="n">
        <x:v>3073</x:v>
      </x:c>
    </x:row>
    <x:row r="659">
      <x:c r="A659" t="str">
        <x:v>EXP00627</x:v>
      </x:c>
      <x:c r="B659" s="6" t="d">
        <x:v>2025-11-26T00:00:00.000Z</x:v>
      </x:c>
      <x:c r="C659" t="str">
        <x:v>Meals</x:v>
      </x:c>
      <x:c r="D659" t="str">
        <x:v>Meals vendor 1</x:v>
      </x:c>
      <x:c r="E659" s="8" t="n">
        <x:v>553</x:v>
      </x:c>
    </x:row>
    <x:row r="660">
      <x:c r="A660" t="str">
        <x:v>EXP00660</x:v>
      </x:c>
      <x:c r="B660" s="6" t="d">
        <x:v>2025-11-26T00:00:00.000Z</x:v>
      </x:c>
      <x:c r="C660" t="str">
        <x:v>Marketing</x:v>
      </x:c>
      <x:c r="D660" t="str">
        <x:v>Marketing vendor 1</x:v>
      </x:c>
      <x:c r="E660" s="8" t="n">
        <x:v>4226</x:v>
      </x:c>
    </x:row>
    <x:row r="661">
      <x:c r="A661" t="str">
        <x:v>EXP00609</x:v>
      </x:c>
      <x:c r="B661" s="6" t="d">
        <x:v>2025-11-27T00:00:00.000Z</x:v>
      </x:c>
      <x:c r="C661" t="str">
        <x:v>Utilities</x:v>
      </x:c>
      <x:c r="D661" t="str">
        <x:v>Utilities vendor 2</x:v>
      </x:c>
      <x:c r="E661" s="8" t="n">
        <x:v>4773</x:v>
      </x:c>
    </x:row>
    <x:row r="662">
      <x:c r="A662" t="str">
        <x:v>EXP00612</x:v>
      </x:c>
      <x:c r="B662" s="6" t="d">
        <x:v>2025-11-28T00:00:00.000Z</x:v>
      </x:c>
      <x:c r="C662" t="str">
        <x:v>Software</x:v>
      </x:c>
      <x:c r="D662" t="str">
        <x:v>Software vendor 1</x:v>
      </x:c>
      <x:c r="E662" s="8" t="n">
        <x:v>4895</x:v>
      </x:c>
    </x:row>
    <x:row r="663">
      <x:c r="A663" t="str">
        <x:v>EXP00649</x:v>
      </x:c>
      <x:c r="B663" s="6" t="d">
        <x:v>2025-11-28T00:00:00.000Z</x:v>
      </x:c>
      <x:c r="C663" t="str">
        <x:v>Office supplies</x:v>
      </x:c>
      <x:c r="D663" t="str">
        <x:v>Office supplies vendor 1</x:v>
      </x:c>
      <x:c r="E663" s="8" t="n">
        <x:v>951</x:v>
      </x:c>
    </x:row>
    <x:row r="664">
      <x:c r="A664" t="str">
        <x:v>EXP00687</x:v>
      </x:c>
      <x:c r="B664" s="6" t="d">
        <x:v>2025-12-01T00:00:00.000Z</x:v>
      </x:c>
      <x:c r="C664" t="str">
        <x:v>Meals</x:v>
      </x:c>
      <x:c r="D664" t="str">
        <x:v>Meals vendor 1</x:v>
      </x:c>
      <x:c r="E664" s="8" t="n">
        <x:v>529</x:v>
      </x:c>
    </x:row>
    <x:row r="665">
      <x:c r="A665" t="str">
        <x:v>EXP00698</x:v>
      </x:c>
      <x:c r="B665" s="6" t="d">
        <x:v>2025-12-01T00:00:00.000Z</x:v>
      </x:c>
      <x:c r="C665" t="str">
        <x:v>Meals</x:v>
      </x:c>
      <x:c r="D665" t="str">
        <x:v>Meals vendor 3</x:v>
      </x:c>
      <x:c r="E665" s="8" t="n">
        <x:v>321</x:v>
      </x:c>
    </x:row>
    <x:row r="666">
      <x:c r="A666" t="str">
        <x:v>EXP00715</x:v>
      </x:c>
      <x:c r="B666" s="6" t="d">
        <x:v>2025-12-01T00:00:00.000Z</x:v>
      </x:c>
      <x:c r="C666" t="str">
        <x:v>Marketing</x:v>
      </x:c>
      <x:c r="D666" t="str">
        <x:v>Marketing vendor 2</x:v>
      </x:c>
      <x:c r="E666" s="8" t="n">
        <x:v>3063</x:v>
      </x:c>
    </x:row>
    <x:row r="667">
      <x:c r="A667" t="str">
        <x:v>EXP00672</x:v>
      </x:c>
      <x:c r="B667" s="6" t="d">
        <x:v>2025-12-02T00:00:00.000Z</x:v>
      </x:c>
      <x:c r="C667" t="str">
        <x:v>Software</x:v>
      </x:c>
      <x:c r="D667" t="str">
        <x:v>Software vendor 1</x:v>
      </x:c>
      <x:c r="E667" s="8" t="n">
        <x:v>2430</x:v>
      </x:c>
    </x:row>
    <x:row r="668">
      <x:c r="A668" t="str">
        <x:v>EXP00705</x:v>
      </x:c>
      <x:c r="B668" s="6" t="d">
        <x:v>2025-12-02T00:00:00.000Z</x:v>
      </x:c>
      <x:c r="C668" t="str">
        <x:v>Office supplies</x:v>
      </x:c>
      <x:c r="D668" t="str">
        <x:v>Office supplies vendor 3</x:v>
      </x:c>
      <x:c r="E668" s="8" t="n">
        <x:v>577</x:v>
      </x:c>
    </x:row>
    <x:row r="669">
      <x:c r="A669" t="str">
        <x:v>EXP00714</x:v>
      </x:c>
      <x:c r="B669" s="6" t="d">
        <x:v>2025-12-02T00:00:00.000Z</x:v>
      </x:c>
      <x:c r="C669" t="str">
        <x:v>Marketing</x:v>
      </x:c>
      <x:c r="D669" t="str">
        <x:v>Marketing vendor 1</x:v>
      </x:c>
      <x:c r="E669" s="8" t="n">
        <x:v>3669</x:v>
      </x:c>
    </x:row>
    <x:row r="670">
      <x:c r="A670" t="str">
        <x:v>EXP00671</x:v>
      </x:c>
      <x:c r="B670" s="6" t="d">
        <x:v>2025-12-03T00:00:00.000Z</x:v>
      </x:c>
      <x:c r="C670" t="str">
        <x:v>Utilities</x:v>
      </x:c>
      <x:c r="D670" t="str">
        <x:v>Utilities vendor 1</x:v>
      </x:c>
      <x:c r="E670" s="8" t="n">
        <x:v>4972</x:v>
      </x:c>
    </x:row>
    <x:row r="671">
      <x:c r="A671" t="str">
        <x:v>EXP00694</x:v>
      </x:c>
      <x:c r="B671" s="6" t="d">
        <x:v>2025-12-03T00:00:00.000Z</x:v>
      </x:c>
      <x:c r="C671" t="str">
        <x:v>Meals</x:v>
      </x:c>
      <x:c r="D671" t="str">
        <x:v>Meals vendor 2</x:v>
      </x:c>
      <x:c r="E671" s="8" t="n">
        <x:v>479</x:v>
      </x:c>
    </x:row>
    <x:row r="672">
      <x:c r="A672" t="str">
        <x:v>EXP00699</x:v>
      </x:c>
      <x:c r="B672" s="6" t="d">
        <x:v>2025-12-03T00:00:00.000Z</x:v>
      </x:c>
      <x:c r="C672" t="str">
        <x:v>Meals</x:v>
      </x:c>
      <x:c r="D672" t="str">
        <x:v>Meals vendor 1</x:v>
      </x:c>
      <x:c r="E672" s="8" t="n">
        <x:v>285</x:v>
      </x:c>
    </x:row>
    <x:row r="673">
      <x:c r="A673" t="str">
        <x:v>EXP00707</x:v>
      </x:c>
      <x:c r="B673" s="6" t="d">
        <x:v>2025-12-03T00:00:00.000Z</x:v>
      </x:c>
      <x:c r="C673" t="str">
        <x:v>Office supplies</x:v>
      </x:c>
      <x:c r="D673" t="str">
        <x:v>Office supplies vendor 2</x:v>
      </x:c>
      <x:c r="E673" s="8" t="n">
        <x:v>1025</x:v>
      </x:c>
    </x:row>
    <x:row r="674">
      <x:c r="A674" t="str">
        <x:v>EXP00683</x:v>
      </x:c>
      <x:c r="B674" s="6" t="d">
        <x:v>2025-12-04T00:00:00.000Z</x:v>
      </x:c>
      <x:c r="C674" t="str">
        <x:v>Travel</x:v>
      </x:c>
      <x:c r="D674" t="str">
        <x:v>Travel vendor 1</x:v>
      </x:c>
      <x:c r="E674" s="8" t="n">
        <x:v>4414</x:v>
      </x:c>
    </x:row>
    <x:row r="675">
      <x:c r="A675" t="str">
        <x:v>EXP00678</x:v>
      </x:c>
      <x:c r="B675" s="6" t="d">
        <x:v>2025-12-05T00:00:00.000Z</x:v>
      </x:c>
      <x:c r="C675" t="str">
        <x:v>Travel</x:v>
      </x:c>
      <x:c r="D675" t="str">
        <x:v>Travel vendor 2</x:v>
      </x:c>
      <x:c r="E675" s="8" t="n">
        <x:v>2566</x:v>
      </x:c>
    </x:row>
    <x:row r="676">
      <x:c r="A676" t="str">
        <x:v>EXP00690</x:v>
      </x:c>
      <x:c r="B676" s="6" t="d">
        <x:v>2025-12-05T00:00:00.000Z</x:v>
      </x:c>
      <x:c r="C676" t="str">
        <x:v>Meals</x:v>
      </x:c>
      <x:c r="D676" t="str">
        <x:v>Meals vendor 1</x:v>
      </x:c>
      <x:c r="E676" s="8" t="n">
        <x:v>563</x:v>
      </x:c>
    </x:row>
    <x:row r="677">
      <x:c r="A677" t="str">
        <x:v>EXP00695</x:v>
      </x:c>
      <x:c r="B677" s="6" t="d">
        <x:v>2025-12-05T00:00:00.000Z</x:v>
      </x:c>
      <x:c r="C677" t="str">
        <x:v>Meals</x:v>
      </x:c>
      <x:c r="D677" t="str">
        <x:v>Meals vendor 3</x:v>
      </x:c>
      <x:c r="E677" s="8" t="n">
        <x:v>220</x:v>
      </x:c>
    </x:row>
    <x:row r="678">
      <x:c r="A678" t="str">
        <x:v>EXP00688</x:v>
      </x:c>
      <x:c r="B678" s="6" t="d">
        <x:v>2025-12-06T00:00:00.000Z</x:v>
      </x:c>
      <x:c r="C678" t="str">
        <x:v>Meals</x:v>
      </x:c>
      <x:c r="D678" t="str">
        <x:v>Meals vendor 2</x:v>
      </x:c>
      <x:c r="E678" s="8" t="n">
        <x:v>450</x:v>
      </x:c>
    </x:row>
    <x:row r="679">
      <x:c r="A679" t="str">
        <x:v>EXP00677</x:v>
      </x:c>
      <x:c r="B679" s="6" t="d">
        <x:v>2025-12-07T00:00:00.000Z</x:v>
      </x:c>
      <x:c r="C679" t="str">
        <x:v>Travel</x:v>
      </x:c>
      <x:c r="D679" t="str">
        <x:v>Travel vendor 1</x:v>
      </x:c>
      <x:c r="E679" s="8" t="n">
        <x:v>1870</x:v>
      </x:c>
    </x:row>
    <x:row r="680">
      <x:c r="A680" t="str">
        <x:v>EXP00702</x:v>
      </x:c>
      <x:c r="B680" s="6" t="d">
        <x:v>2025-12-07T00:00:00.000Z</x:v>
      </x:c>
      <x:c r="C680" t="str">
        <x:v>Meals</x:v>
      </x:c>
      <x:c r="D680" t="str">
        <x:v>Meals vendor 1</x:v>
      </x:c>
      <x:c r="E680" s="8" t="n">
        <x:v>352</x:v>
      </x:c>
    </x:row>
    <x:row r="681">
      <x:c r="A681" t="str">
        <x:v>EXP00716</x:v>
      </x:c>
      <x:c r="B681" s="6" t="d">
        <x:v>2025-12-07T00:00:00.000Z</x:v>
      </x:c>
      <x:c r="C681" t="str">
        <x:v>Marketing</x:v>
      </x:c>
      <x:c r="D681" t="str">
        <x:v>Marketing vendor 3</x:v>
      </x:c>
      <x:c r="E681" s="8" t="n">
        <x:v>2214</x:v>
      </x:c>
    </x:row>
    <x:row r="682">
      <x:c r="A682" t="str">
        <x:v>EXP00719</x:v>
      </x:c>
      <x:c r="B682" s="6" t="d">
        <x:v>2025-12-07T00:00:00.000Z</x:v>
      </x:c>
      <x:c r="C682" t="str">
        <x:v>Marketing</x:v>
      </x:c>
      <x:c r="D682" t="str">
        <x:v>Marketing vendor 3</x:v>
      </x:c>
      <x:c r="E682" s="8" t="n">
        <x:v>3722</x:v>
      </x:c>
    </x:row>
    <x:row r="683">
      <x:c r="A683" t="str">
        <x:v>EXP00681</x:v>
      </x:c>
      <x:c r="B683" s="6" t="d">
        <x:v>2025-12-08T00:00:00.000Z</x:v>
      </x:c>
      <x:c r="C683" t="str">
        <x:v>Travel</x:v>
      </x:c>
      <x:c r="D683" t="str">
        <x:v>Travel vendor 2</x:v>
      </x:c>
      <x:c r="E683" s="8" t="n">
        <x:v>4112</x:v>
      </x:c>
    </x:row>
    <x:row r="684">
      <x:c r="A684" t="str">
        <x:v>EXP00711</x:v>
      </x:c>
      <x:c r="B684" s="6" t="d">
        <x:v>2025-12-08T00:00:00.000Z</x:v>
      </x:c>
      <x:c r="C684" t="str">
        <x:v>Marketing</x:v>
      </x:c>
      <x:c r="D684" t="str">
        <x:v>Marketing vendor 1</x:v>
      </x:c>
      <x:c r="E684" s="8" t="n">
        <x:v>4012</x:v>
      </x:c>
    </x:row>
    <x:row r="685">
      <x:c r="A685" t="str">
        <x:v>EXP00708</x:v>
      </x:c>
      <x:c r="B685" s="6" t="d">
        <x:v>2025-12-09T00:00:00.000Z</x:v>
      </x:c>
      <x:c r="C685" t="str">
        <x:v>Office supplies</x:v>
      </x:c>
      <x:c r="D685" t="str">
        <x:v>Office supplies vendor 3</x:v>
      </x:c>
      <x:c r="E685" s="8" t="n">
        <x:v>779</x:v>
      </x:c>
    </x:row>
    <x:row r="686">
      <x:c r="A686" t="str">
        <x:v>EXP00717</x:v>
      </x:c>
      <x:c r="B686" s="6" t="d">
        <x:v>2025-12-10T00:00:00.000Z</x:v>
      </x:c>
      <x:c r="C686" t="str">
        <x:v>Marketing</x:v>
      </x:c>
      <x:c r="D686" t="str">
        <x:v>Marketing vendor 1</x:v>
      </x:c>
      <x:c r="E686" s="8" t="n">
        <x:v>4270</x:v>
      </x:c>
    </x:row>
    <x:row r="687">
      <x:c r="A687" t="str">
        <x:v>EXP00663</x:v>
      </x:c>
      <x:c r="B687" s="6" t="d">
        <x:v>2025-12-11T00:00:00.000Z</x:v>
      </x:c>
      <x:c r="C687" t="str">
        <x:v>Salaries</x:v>
      </x:c>
      <x:c r="D687" t="str">
        <x:v>Salaries vendor 2</x:v>
      </x:c>
      <x:c r="E687" s="8" t="n">
        <x:v>34123</x:v>
      </x:c>
    </x:row>
    <x:row r="688">
      <x:c r="A688" t="str">
        <x:v>EXP00684</x:v>
      </x:c>
      <x:c r="B688" s="6" t="d">
        <x:v>2025-12-12T00:00:00.000Z</x:v>
      </x:c>
      <x:c r="C688" t="str">
        <x:v>Travel</x:v>
      </x:c>
      <x:c r="D688" t="str">
        <x:v>Travel vendor 2</x:v>
      </x:c>
      <x:c r="E688" s="8" t="n">
        <x:v>3308</x:v>
      </x:c>
    </x:row>
    <x:row r="689">
      <x:c r="A689" t="str">
        <x:v>EXP00666</x:v>
      </x:c>
      <x:c r="B689" s="6" t="d">
        <x:v>2025-12-13T00:00:00.000Z</x:v>
      </x:c>
      <x:c r="C689" t="str">
        <x:v>Salaries</x:v>
      </x:c>
      <x:c r="D689" t="str">
        <x:v>Salaries vendor 2</x:v>
      </x:c>
      <x:c r="E689" s="8" t="n">
        <x:v>23036</x:v>
      </x:c>
    </x:row>
    <x:row r="690">
      <x:c r="A690" t="str">
        <x:v>EXP00693</x:v>
      </x:c>
      <x:c r="B690" s="6" t="d">
        <x:v>2025-12-13T00:00:00.000Z</x:v>
      </x:c>
      <x:c r="C690" t="str">
        <x:v>Meals</x:v>
      </x:c>
      <x:c r="D690" t="str">
        <x:v>Meals vendor 1</x:v>
      </x:c>
      <x:c r="E690" s="8" t="n">
        <x:v>466</x:v>
      </x:c>
    </x:row>
    <x:row r="691">
      <x:c r="A691" t="str">
        <x:v>EXP00712</x:v>
      </x:c>
      <x:c r="B691" s="6" t="d">
        <x:v>2025-12-13T00:00:00.000Z</x:v>
      </x:c>
      <x:c r="C691" t="str">
        <x:v>Marketing</x:v>
      </x:c>
      <x:c r="D691" t="str">
        <x:v>Marketing vendor 2</x:v>
      </x:c>
      <x:c r="E691" s="8" t="n">
        <x:v>3313</x:v>
      </x:c>
    </x:row>
    <x:row r="692">
      <x:c r="A692" t="str">
        <x:v>EXP00662</x:v>
      </x:c>
      <x:c r="B692" s="6" t="d">
        <x:v>2025-12-14T00:00:00.000Z</x:v>
      </x:c>
      <x:c r="C692" t="str">
        <x:v>Salaries</x:v>
      </x:c>
      <x:c r="D692" t="str">
        <x:v>Salaries vendor 1</x:v>
      </x:c>
      <x:c r="E692" s="8" t="n">
        <x:v>28600</x:v>
      </x:c>
    </x:row>
    <x:row r="693">
      <x:c r="A693" t="str">
        <x:v>EXP00667</x:v>
      </x:c>
      <x:c r="B693" s="6" t="d">
        <x:v>2025-12-14T00:00:00.000Z</x:v>
      </x:c>
      <x:c r="C693" t="str">
        <x:v>Salaries</x:v>
      </x:c>
      <x:c r="D693" t="str">
        <x:v>Salaries vendor 3</x:v>
      </x:c>
      <x:c r="E693" s="8" t="n">
        <x:v>34380</x:v>
      </x:c>
    </x:row>
    <x:row r="694">
      <x:c r="A694" t="str">
        <x:v>EXP00665</x:v>
      </x:c>
      <x:c r="B694" s="6" t="d">
        <x:v>2025-12-15T00:00:00.000Z</x:v>
      </x:c>
      <x:c r="C694" t="str">
        <x:v>Salaries</x:v>
      </x:c>
      <x:c r="D694" t="str">
        <x:v>Salaries vendor 1</x:v>
      </x:c>
      <x:c r="E694" s="8" t="n">
        <x:v>33821</x:v>
      </x:c>
    </x:row>
    <x:row r="695">
      <x:c r="A695" t="str">
        <x:v>EXP00709</x:v>
      </x:c>
      <x:c r="B695" s="6" t="d">
        <x:v>2025-12-15T00:00:00.000Z</x:v>
      </x:c>
      <x:c r="C695" t="str">
        <x:v>Office supplies</x:v>
      </x:c>
      <x:c r="D695" t="str">
        <x:v>Office supplies vendor 1</x:v>
      </x:c>
      <x:c r="E695" s="8" t="n">
        <x:v>983</x:v>
      </x:c>
    </x:row>
    <x:row r="696">
      <x:c r="A696" t="str">
        <x:v>EXP00670</x:v>
      </x:c>
      <x:c r="B696" s="6" t="d">
        <x:v>2025-12-16T00:00:00.000Z</x:v>
      </x:c>
      <x:c r="C696" t="str">
        <x:v>Utilities</x:v>
      </x:c>
      <x:c r="D696" t="str">
        <x:v>Utilities vendor 3</x:v>
      </x:c>
      <x:c r="E696" s="8" t="n">
        <x:v>2583</x:v>
      </x:c>
    </x:row>
    <x:row r="697">
      <x:c r="A697" t="str">
        <x:v>EXP00680</x:v>
      </x:c>
      <x:c r="B697" s="6" t="d">
        <x:v>2025-12-16T00:00:00.000Z</x:v>
      </x:c>
      <x:c r="C697" t="str">
        <x:v>Travel</x:v>
      </x:c>
      <x:c r="D697" t="str">
        <x:v>Travel vendor 1</x:v>
      </x:c>
      <x:c r="E697" s="8" t="n">
        <x:v>3758</x:v>
      </x:c>
    </x:row>
    <x:row r="698">
      <x:c r="A698" t="str">
        <x:v>EXP00701</x:v>
      </x:c>
      <x:c r="B698" s="6" t="d">
        <x:v>2025-12-17T00:00:00.000Z</x:v>
      </x:c>
      <x:c r="C698" t="str">
        <x:v>Meals</x:v>
      </x:c>
      <x:c r="D698" t="str">
        <x:v>Meals vendor 3</x:v>
      </x:c>
      <x:c r="E698" s="8" t="n">
        <x:v>339</x:v>
      </x:c>
    </x:row>
    <x:row r="699">
      <x:c r="A699" t="str">
        <x:v>EXP00675</x:v>
      </x:c>
      <x:c r="B699" s="6" t="d">
        <x:v>2025-12-18T00:00:00.000Z</x:v>
      </x:c>
      <x:c r="C699" t="str">
        <x:v>Software</x:v>
      </x:c>
      <x:c r="D699" t="str">
        <x:v>Software vendor 1</x:v>
      </x:c>
      <x:c r="E699" s="8" t="n">
        <x:v>3622</x:v>
      </x:c>
    </x:row>
    <x:row r="700">
      <x:c r="A700" t="str">
        <x:v>EXP00676</x:v>
      </x:c>
      <x:c r="B700" s="6" t="d">
        <x:v>2025-12-18T00:00:00.000Z</x:v>
      </x:c>
      <x:c r="C700" t="str">
        <x:v>Software</x:v>
      </x:c>
      <x:c r="D700" t="str">
        <x:v>Software vendor 2</x:v>
      </x:c>
      <x:c r="E700" s="8" t="n">
        <x:v>2614</x:v>
      </x:c>
    </x:row>
    <x:row r="701">
      <x:c r="A701" t="str">
        <x:v>EXP00686</x:v>
      </x:c>
      <x:c r="B701" s="6" t="d">
        <x:v>2025-12-18T00:00:00.000Z</x:v>
      </x:c>
      <x:c r="C701" t="str">
        <x:v>Travel</x:v>
      </x:c>
      <x:c r="D701" t="str">
        <x:v>Travel vendor 1</x:v>
      </x:c>
      <x:c r="E701" s="8" t="n">
        <x:v>3239</x:v>
      </x:c>
    </x:row>
    <x:row r="702">
      <x:c r="A702" t="str">
        <x:v>EXP00673</x:v>
      </x:c>
      <x:c r="B702" s="6" t="d">
        <x:v>2025-12-19T00:00:00.000Z</x:v>
      </x:c>
      <x:c r="C702" t="str">
        <x:v>Software</x:v>
      </x:c>
      <x:c r="D702" t="str">
        <x:v>Software vendor 2</x:v>
      </x:c>
      <x:c r="E702" s="8" t="n">
        <x:v>3868</x:v>
      </x:c>
    </x:row>
    <x:row r="703">
      <x:c r="A703" t="str">
        <x:v>EXP00691</x:v>
      </x:c>
      <x:c r="B703" s="6" t="d">
        <x:v>2025-12-19T00:00:00.000Z</x:v>
      </x:c>
      <x:c r="C703" t="str">
        <x:v>Meals</x:v>
      </x:c>
      <x:c r="D703" t="str">
        <x:v>Meals vendor 2</x:v>
      </x:c>
      <x:c r="E703" s="8" t="n">
        <x:v>618</x:v>
      </x:c>
    </x:row>
    <x:row r="704">
      <x:c r="A704" t="str">
        <x:v>EXP00704</x:v>
      </x:c>
      <x:c r="B704" s="6" t="d">
        <x:v>2025-12-20T00:00:00.000Z</x:v>
      </x:c>
      <x:c r="C704" t="str">
        <x:v>Office supplies</x:v>
      </x:c>
      <x:c r="D704" t="str">
        <x:v>Office supplies vendor 2</x:v>
      </x:c>
      <x:c r="E704" s="8" t="n">
        <x:v>467</x:v>
      </x:c>
    </x:row>
    <x:row r="705">
      <x:c r="A705" t="str">
        <x:v>EXP00713</x:v>
      </x:c>
      <x:c r="B705" s="6" t="d">
        <x:v>2025-12-20T00:00:00.000Z</x:v>
      </x:c>
      <x:c r="C705" t="str">
        <x:v>Marketing</x:v>
      </x:c>
      <x:c r="D705" t="str">
        <x:v>Marketing vendor 3</x:v>
      </x:c>
      <x:c r="E705" s="8" t="n">
        <x:v>2593</x:v>
      </x:c>
    </x:row>
    <x:row r="706">
      <x:c r="A706" t="str">
        <x:v>EXP00697</x:v>
      </x:c>
      <x:c r="B706" s="6" t="d">
        <x:v>2025-12-21T00:00:00.000Z</x:v>
      </x:c>
      <x:c r="C706" t="str">
        <x:v>Meals</x:v>
      </x:c>
      <x:c r="D706" t="str">
        <x:v>Meals vendor 2</x:v>
      </x:c>
      <x:c r="E706" s="8" t="n">
        <x:v>557</x:v>
      </x:c>
    </x:row>
    <x:row r="707">
      <x:c r="A707" t="str">
        <x:v>EXP00668</x:v>
      </x:c>
      <x:c r="B707" s="6" t="d">
        <x:v>2025-12-22T00:00:00.000Z</x:v>
      </x:c>
      <x:c r="C707" t="str">
        <x:v>Utilities</x:v>
      </x:c>
      <x:c r="D707" t="str">
        <x:v>Utilities vendor 1</x:v>
      </x:c>
      <x:c r="E707" s="8" t="n">
        <x:v>2780</x:v>
      </x:c>
    </x:row>
    <x:row r="708">
      <x:c r="A708" t="str">
        <x:v>EXP00679</x:v>
      </x:c>
      <x:c r="B708" s="6" t="d">
        <x:v>2025-12-22T00:00:00.000Z</x:v>
      </x:c>
      <x:c r="C708" t="str">
        <x:v>Travel</x:v>
      </x:c>
      <x:c r="D708" t="str">
        <x:v>Travel vendor 3</x:v>
      </x:c>
      <x:c r="E708" s="8" t="n">
        <x:v>3503</x:v>
      </x:c>
    </x:row>
    <x:row r="709">
      <x:c r="A709" t="str">
        <x:v>EXP00692</x:v>
      </x:c>
      <x:c r="B709" s="6" t="d">
        <x:v>2025-12-22T00:00:00.000Z</x:v>
      </x:c>
      <x:c r="C709" t="str">
        <x:v>Meals</x:v>
      </x:c>
      <x:c r="D709" t="str">
        <x:v>Meals vendor 3</x:v>
      </x:c>
      <x:c r="E709" s="8" t="n">
        <x:v>552</x:v>
      </x:c>
    </x:row>
    <x:row r="710">
      <x:c r="A710" t="str">
        <x:v>EXP00706</x:v>
      </x:c>
      <x:c r="B710" s="6" t="d">
        <x:v>2025-12-22T00:00:00.000Z</x:v>
      </x:c>
      <x:c r="C710" t="str">
        <x:v>Office supplies</x:v>
      </x:c>
      <x:c r="D710" t="str">
        <x:v>Office supplies vendor 1</x:v>
      </x:c>
      <x:c r="E710" s="8" t="n">
        <x:v>586</x:v>
      </x:c>
    </x:row>
    <x:row r="711">
      <x:c r="A711" t="str">
        <x:v>EXP00710</x:v>
      </x:c>
      <x:c r="B711" s="6" t="d">
        <x:v>2025-12-22T00:00:00.000Z</x:v>
      </x:c>
      <x:c r="C711" t="str">
        <x:v>Office supplies</x:v>
      </x:c>
      <x:c r="D711" t="str">
        <x:v>Office supplies vendor 2</x:v>
      </x:c>
      <x:c r="E711" s="8" t="n">
        <x:v>466</x:v>
      </x:c>
    </x:row>
    <x:row r="712">
      <x:c r="A712" t="str">
        <x:v>EXP00696</x:v>
      </x:c>
      <x:c r="B712" s="6" t="d">
        <x:v>2025-12-24T00:00:00.000Z</x:v>
      </x:c>
      <x:c r="C712" t="str">
        <x:v>Meals</x:v>
      </x:c>
      <x:c r="D712" t="str">
        <x:v>Meals vendor 1</x:v>
      </x:c>
      <x:c r="E712" s="8" t="n">
        <x:v>599</x:v>
      </x:c>
    </x:row>
    <x:row r="713">
      <x:c r="A713" t="str">
        <x:v>EXP00700</x:v>
      </x:c>
      <x:c r="B713" s="6" t="d">
        <x:v>2025-12-24T00:00:00.000Z</x:v>
      </x:c>
      <x:c r="C713" t="str">
        <x:v>Meals</x:v>
      </x:c>
      <x:c r="D713" t="str">
        <x:v>Meals vendor 2</x:v>
      </x:c>
      <x:c r="E713" s="8" t="n">
        <x:v>504</x:v>
      </x:c>
    </x:row>
    <x:row r="714">
      <x:c r="A714" t="str">
        <x:v>EXP00703</x:v>
      </x:c>
      <x:c r="B714" s="6" t="d">
        <x:v>2025-12-25T00:00:00.000Z</x:v>
      </x:c>
      <x:c r="C714" t="str">
        <x:v>Office supplies</x:v>
      </x:c>
      <x:c r="D714" t="str">
        <x:v>Office supplies vendor 1</x:v>
      </x:c>
      <x:c r="E714" s="8" t="n">
        <x:v>678</x:v>
      </x:c>
    </x:row>
    <x:row r="715">
      <x:c r="A715" t="str">
        <x:v>EXP00720</x:v>
      </x:c>
      <x:c r="B715" s="6" t="d">
        <x:v>2025-12-25T00:00:00.000Z</x:v>
      </x:c>
      <x:c r="C715" t="str">
        <x:v>Marketing</x:v>
      </x:c>
      <x:c r="D715" t="str">
        <x:v>Marketing vendor 1</x:v>
      </x:c>
      <x:c r="E715" s="8" t="n">
        <x:v>2932</x:v>
      </x:c>
    </x:row>
    <x:row r="716">
      <x:c r="A716" t="str">
        <x:v>EXP00664</x:v>
      </x:c>
      <x:c r="B716" s="6" t="d">
        <x:v>2025-12-27T00:00:00.000Z</x:v>
      </x:c>
      <x:c r="C716" t="str">
        <x:v>Salaries</x:v>
      </x:c>
      <x:c r="D716" t="str">
        <x:v>Salaries vendor 3</x:v>
      </x:c>
      <x:c r="E716" s="8" t="n">
        <x:v>26040</x:v>
      </x:c>
    </x:row>
    <x:row r="717">
      <x:c r="A717" t="str">
        <x:v>EXP00661</x:v>
      </x:c>
      <x:c r="B717" s="6" t="d">
        <x:v>2025-12-28T00:00:00.000Z</x:v>
      </x:c>
      <x:c r="C717" t="str">
        <x:v>Rent</x:v>
      </x:c>
      <x:c r="D717" t="str">
        <x:v>Rent vendor 1</x:v>
      </x:c>
      <x:c r="E717" s="8" t="n">
        <x:v>40000</x:v>
      </x:c>
    </x:row>
    <x:row r="718">
      <x:c r="A718" t="str">
        <x:v>EXP00682</x:v>
      </x:c>
      <x:c r="B718" s="6" t="d">
        <x:v>2025-12-28T00:00:00.000Z</x:v>
      </x:c>
      <x:c r="C718" t="str">
        <x:v>Travel</x:v>
      </x:c>
      <x:c r="D718" t="str">
        <x:v>Travel vendor 3</x:v>
      </x:c>
      <x:c r="E718" s="8" t="n">
        <x:v>3670</x:v>
      </x:c>
    </x:row>
    <x:row r="719">
      <x:c r="A719" t="str">
        <x:v>EXP00685</x:v>
      </x:c>
      <x:c r="B719" s="6" t="d">
        <x:v>2025-12-28T00:00:00.000Z</x:v>
      </x:c>
      <x:c r="C719" t="str">
        <x:v>Travel</x:v>
      </x:c>
      <x:c r="D719" t="str">
        <x:v>Travel vendor 3</x:v>
      </x:c>
      <x:c r="E719" s="8" t="n">
        <x:v>2560</x:v>
      </x:c>
    </x:row>
    <x:row r="720">
      <x:c r="A720" t="str">
        <x:v>EXP00689</x:v>
      </x:c>
      <x:c r="B720" s="6" t="d">
        <x:v>2025-12-28T00:00:00.000Z</x:v>
      </x:c>
      <x:c r="C720" t="str">
        <x:v>Meals</x:v>
      </x:c>
      <x:c r="D720" t="str">
        <x:v>Meals vendor 3</x:v>
      </x:c>
      <x:c r="E720" s="8" t="n">
        <x:v>548</x:v>
      </x:c>
    </x:row>
    <x:row r="721">
      <x:c r="A721" t="str">
        <x:v>EXP00669</x:v>
      </x:c>
      <x:c r="B721" s="6" t="d">
        <x:v>2025-12-30T00:00:00.000Z</x:v>
      </x:c>
      <x:c r="C721" t="str">
        <x:v>Utilities</x:v>
      </x:c>
      <x:c r="D721" t="str">
        <x:v>Utilities vendor 2</x:v>
      </x:c>
      <x:c r="E721" s="8" t="n">
        <x:v>2780</x:v>
      </x:c>
    </x:row>
    <x:row r="722">
      <x:c r="A722" t="str">
        <x:v>EXP00674</x:v>
      </x:c>
      <x:c r="B722" s="6" t="d">
        <x:v>2025-12-31T00:00:00.000Z</x:v>
      </x:c>
      <x:c r="C722" t="str">
        <x:v>Software</x:v>
      </x:c>
      <x:c r="D722" t="str">
        <x:v>Software vendor 3</x:v>
      </x:c>
      <x:c r="E722" s="8" t="n">
        <x:v>5166</x:v>
      </x:c>
    </x:row>
    <x:row r="723">
      <x:c r="A723" t="str">
        <x:v>EXP00718</x:v>
      </x:c>
      <x:c r="B723" s="6" t="d">
        <x:v>2025-12-31T00:00:00.000Z</x:v>
      </x:c>
      <x:c r="C723" t="str">
        <x:v>Marketing</x:v>
      </x:c>
      <x:c r="D723" t="str">
        <x:v>Marketing vendor 2</x:v>
      </x:c>
      <x:c r="E723" s="8" t="n">
        <x:v>3962</x:v>
      </x:c>
    </x:row>
  </x:sheetData>
  <x:pageMargins left="0.7" right="0.7" top="0.75" bottom="0.75" header="0.3" footer="0.3"/>
  <x:tableParts count="1">
    <x:tablePart xmlns:r="http://schemas.openxmlformats.org/officeDocument/2006/relationships" r:id="R3a1fac6de12146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3" customHeight="1">
      <x:c r="A1" s="1" t="str">
        <x:v>Synthetic monthly budgets. Blue numbers are editable inputs. Currency: INR.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9" customHeight="1">
      <x:c r="A3" s="4" t="str">
        <x:v>month</x:v>
      </x:c>
      <x:c r="B3" s="4" t="str">
        <x:v>category</x:v>
      </x:c>
      <x:c r="C3" s="4" t="str">
        <x:v>budget_inr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 t="str">
        <x:v>2025-01</x:v>
      </x:c>
      <x:c r="B4" s="1" t="str">
        <x:v>Rent</x:v>
      </x:c>
      <x:c r="C4" s="9" t="n">
        <x:v>40000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2025-01</x:v>
      </x:c>
      <x:c r="B5" s="1" t="str">
        <x:v>Salaries</x:v>
      </x:c>
      <x:c r="C5" s="9" t="n">
        <x:v>180000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2025-01</x:v>
      </x:c>
      <x:c r="B6" s="1" t="str">
        <x:v>Utilities</x:v>
      </x:c>
      <x:c r="C6" s="9" t="n">
        <x:v>12000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2025-01</x:v>
      </x:c>
      <x:c r="B7" s="1" t="str">
        <x:v>Software</x:v>
      </x:c>
      <x:c r="C7" s="9" t="n">
        <x:v>15000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2025-01</x:v>
      </x:c>
      <x:c r="B8" s="1" t="str">
        <x:v>Travel</x:v>
      </x:c>
      <x:c r="C8" s="9" t="n">
        <x:v>20000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2025-01</x:v>
      </x:c>
      <x:c r="B9" s="1" t="str">
        <x:v>Meals</x:v>
      </x:c>
      <x:c r="C9" s="9" t="n">
        <x:v>8000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2025-01</x:v>
      </x:c>
      <x:c r="B10" s="1" t="str">
        <x:v>Office supplies</x:v>
      </x:c>
      <x:c r="C10" s="9" t="n">
        <x:v>6000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2025-01</x:v>
      </x:c>
      <x:c r="B11" s="1" t="str">
        <x:v>Marketing</x:v>
      </x:c>
      <x:c r="C11" s="9" t="n">
        <x:v>25000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 t="str">
        <x:v>2025-02</x:v>
      </x:c>
      <x:c r="B12" s="1" t="str">
        <x:v>Rent</x:v>
      </x:c>
      <x:c r="C12" s="9" t="n">
        <x:v>40000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 t="str">
        <x:v>2025-02</x:v>
      </x:c>
      <x:c r="B13" s="1" t="str">
        <x:v>Salaries</x:v>
      </x:c>
      <x:c r="C13" s="9" t="n">
        <x:v>180000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 t="str">
        <x:v>2025-02</x:v>
      </x:c>
      <x:c r="B14" s="1" t="str">
        <x:v>Utilities</x:v>
      </x:c>
      <x:c r="C14" s="9" t="n">
        <x:v>12000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 t="str">
        <x:v>2025-02</x:v>
      </x:c>
      <x:c r="B15" s="1" t="str">
        <x:v>Software</x:v>
      </x:c>
      <x:c r="C15" s="9" t="n">
        <x:v>15000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v>2025-02</x:v>
      </x:c>
      <x:c r="B16" s="1" t="str">
        <x:v>Travel</x:v>
      </x:c>
      <x:c r="C16" s="9" t="n">
        <x:v>20000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 t="str">
        <x:v>2025-02</x:v>
      </x:c>
      <x:c r="B17" s="1" t="str">
        <x:v>Meals</x:v>
      </x:c>
      <x:c r="C17" s="9" t="n">
        <x:v>8000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v>2025-02</x:v>
      </x:c>
      <x:c r="B18" s="1" t="str">
        <x:v>Office supplies</x:v>
      </x:c>
      <x:c r="C18" s="9" t="n">
        <x:v>6000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 t="str">
        <x:v>2025-02</x:v>
      </x:c>
      <x:c r="B19" s="1" t="str">
        <x:v>Marketing</x:v>
      </x:c>
      <x:c r="C19" s="9" t="n">
        <x:v>25000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v>2025-03</x:v>
      </x:c>
      <x:c r="B20" s="1" t="str">
        <x:v>Rent</x:v>
      </x:c>
      <x:c r="C20" s="9" t="n">
        <x:v>40000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 t="str">
        <x:v>2025-03</x:v>
      </x:c>
      <x:c r="B21" s="1" t="str">
        <x:v>Salaries</x:v>
      </x:c>
      <x:c r="C21" s="9" t="n">
        <x:v>180000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 t="str">
        <x:v>2025-03</x:v>
      </x:c>
      <x:c r="B22" s="1" t="str">
        <x:v>Utilities</x:v>
      </x:c>
      <x:c r="C22" s="9" t="n">
        <x:v>12000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 t="str">
        <x:v>2025-03</x:v>
      </x:c>
      <x:c r="B23" s="1" t="str">
        <x:v>Software</x:v>
      </x:c>
      <x:c r="C23" s="9" t="n">
        <x:v>15000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 t="str">
        <x:v>2025-03</x:v>
      </x:c>
      <x:c r="B24" s="1" t="str">
        <x:v>Travel</x:v>
      </x:c>
      <x:c r="C24" s="9" t="n">
        <x:v>20000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 t="str">
        <x:v>2025-03</x:v>
      </x:c>
      <x:c r="B25" s="1" t="str">
        <x:v>Meals</x:v>
      </x:c>
      <x:c r="C25" s="9" t="n">
        <x:v>8000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 t="str">
        <x:v>2025-03</x:v>
      </x:c>
      <x:c r="B26" s="1" t="str">
        <x:v>Office supplies</x:v>
      </x:c>
      <x:c r="C26" s="9" t="n">
        <x:v>6000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 t="str">
        <x:v>2025-03</x:v>
      </x:c>
      <x:c r="B27" s="1" t="str">
        <x:v>Marketing</x:v>
      </x:c>
      <x:c r="C27" s="9" t="n">
        <x:v>25000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 t="str">
        <x:v>2025-04</x:v>
      </x:c>
      <x:c r="B28" s="1" t="str">
        <x:v>Rent</x:v>
      </x:c>
      <x:c r="C28" s="9" t="n">
        <x:v>40000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 t="str">
        <x:v>2025-04</x:v>
      </x:c>
      <x:c r="B29" s="1" t="str">
        <x:v>Salaries</x:v>
      </x:c>
      <x:c r="C29" s="9" t="n">
        <x:v>180000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2025-04</x:v>
      </x:c>
      <x:c r="B30" s="1" t="str">
        <x:v>Utilities</x:v>
      </x:c>
      <x:c r="C30" s="9" t="n">
        <x:v>12000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 t="str">
        <x:v>2025-04</x:v>
      </x:c>
      <x:c r="B31" s="1" t="str">
        <x:v>Software</x:v>
      </x:c>
      <x:c r="C31" s="9" t="n">
        <x:v>15000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 t="str">
        <x:v>2025-04</x:v>
      </x:c>
      <x:c r="B32" s="1" t="str">
        <x:v>Travel</x:v>
      </x:c>
      <x:c r="C32" s="9" t="n">
        <x:v>20000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 t="str">
        <x:v>2025-04</x:v>
      </x:c>
      <x:c r="B33" s="1" t="str">
        <x:v>Meals</x:v>
      </x:c>
      <x:c r="C33" s="9" t="n">
        <x:v>8000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 t="str">
        <x:v>2025-04</x:v>
      </x:c>
      <x:c r="B34" s="1" t="str">
        <x:v>Office supplies</x:v>
      </x:c>
      <x:c r="C34" s="9" t="n">
        <x:v>6000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 t="str">
        <x:v>2025-04</x:v>
      </x:c>
      <x:c r="B35" s="1" t="str">
        <x:v>Marketing</x:v>
      </x:c>
      <x:c r="C35" s="9" t="n">
        <x:v>25000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 t="str">
        <x:v>2025-05</x:v>
      </x:c>
      <x:c r="B36" s="1" t="str">
        <x:v>Rent</x:v>
      </x:c>
      <x:c r="C36" s="9" t="n">
        <x:v>40000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 t="str">
        <x:v>2025-05</x:v>
      </x:c>
      <x:c r="B37" s="1" t="str">
        <x:v>Salaries</x:v>
      </x:c>
      <x:c r="C37" s="9" t="n">
        <x:v>180000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 t="str">
        <x:v>2025-05</x:v>
      </x:c>
      <x:c r="B38" s="1" t="str">
        <x:v>Utilities</x:v>
      </x:c>
      <x:c r="C38" s="9" t="n">
        <x:v>12000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 t="str">
        <x:v>2025-05</x:v>
      </x:c>
      <x:c r="B39" s="1" t="str">
        <x:v>Software</x:v>
      </x:c>
      <x:c r="C39" s="9" t="n">
        <x:v>15000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 t="str">
        <x:v>2025-05</x:v>
      </x:c>
      <x:c r="B40" s="1" t="str">
        <x:v>Travel</x:v>
      </x:c>
      <x:c r="C40" s="9" t="n">
        <x:v>20000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 t="str">
        <x:v>2025-05</x:v>
      </x:c>
      <x:c r="B41" s="1" t="str">
        <x:v>Meals</x:v>
      </x:c>
      <x:c r="C41" s="9" t="n">
        <x:v>8000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 t="str">
        <x:v>2025-05</x:v>
      </x:c>
      <x:c r="B42" s="1" t="str">
        <x:v>Office supplies</x:v>
      </x:c>
      <x:c r="C42" s="9" t="n">
        <x:v>6000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3" customHeight="1">
      <x:c r="A43" s="1" t="str">
        <x:v>2025-05</x:v>
      </x:c>
      <x:c r="B43" s="1" t="str">
        <x:v>Marketing</x:v>
      </x:c>
      <x:c r="C43" s="9" t="n">
        <x:v>25000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" t="str">
        <x:v>2025-06</x:v>
      </x:c>
      <x:c r="B44" s="1" t="str">
        <x:v>Rent</x:v>
      </x:c>
      <x:c r="C44" s="9" t="n">
        <x:v>40000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1" t="str">
        <x:v>2025-06</x:v>
      </x:c>
      <x:c r="B45" s="1" t="str">
        <x:v>Salaries</x:v>
      </x:c>
      <x:c r="C45" s="9" t="n">
        <x:v>180000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3" customHeight="1">
      <x:c r="A46" s="1" t="str">
        <x:v>2025-06</x:v>
      </x:c>
      <x:c r="B46" s="1" t="str">
        <x:v>Utilities</x:v>
      </x:c>
      <x:c r="C46" s="9" t="n">
        <x:v>12000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3" customHeight="1">
      <x:c r="A47" s="1" t="str">
        <x:v>2025-06</x:v>
      </x:c>
      <x:c r="B47" s="1" t="str">
        <x:v>Software</x:v>
      </x:c>
      <x:c r="C47" s="9" t="n">
        <x:v>15000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3" customHeight="1">
      <x:c r="A48" s="1" t="str">
        <x:v>2025-06</x:v>
      </x:c>
      <x:c r="B48" s="1" t="str">
        <x:v>Travel</x:v>
      </x:c>
      <x:c r="C48" s="9" t="n">
        <x:v>20000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3" customHeight="1">
      <x:c r="A49" s="1" t="str">
        <x:v>2025-06</x:v>
      </x:c>
      <x:c r="B49" s="1" t="str">
        <x:v>Meals</x:v>
      </x:c>
      <x:c r="C49" s="9" t="n">
        <x:v>8000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3" customHeight="1">
      <x:c r="A50" s="1" t="str">
        <x:v>2025-06</x:v>
      </x:c>
      <x:c r="B50" s="1" t="str">
        <x:v>Office supplies</x:v>
      </x:c>
      <x:c r="C50" s="9" t="n">
        <x:v>6000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3" customHeight="1">
      <x:c r="A51" s="1" t="str">
        <x:v>2025-06</x:v>
      </x:c>
      <x:c r="B51" s="1" t="str">
        <x:v>Marketing</x:v>
      </x:c>
      <x:c r="C51" s="9" t="n">
        <x:v>25000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3" customHeight="1">
      <x:c r="A52" s="1" t="str">
        <x:v>2025-07</x:v>
      </x:c>
      <x:c r="B52" s="1" t="str">
        <x:v>Rent</x:v>
      </x:c>
      <x:c r="C52" s="9" t="n">
        <x:v>40000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3" customHeight="1">
      <x:c r="A53" s="1" t="str">
        <x:v>2025-07</x:v>
      </x:c>
      <x:c r="B53" s="1" t="str">
        <x:v>Salaries</x:v>
      </x:c>
      <x:c r="C53" s="9" t="n">
        <x:v>180000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3" customHeight="1">
      <x:c r="A54" s="1" t="str">
        <x:v>2025-07</x:v>
      </x:c>
      <x:c r="B54" s="1" t="str">
        <x:v>Utilities</x:v>
      </x:c>
      <x:c r="C54" s="9" t="n">
        <x:v>12000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3" customHeight="1">
      <x:c r="A55" s="1" t="str">
        <x:v>2025-07</x:v>
      </x:c>
      <x:c r="B55" s="1" t="str">
        <x:v>Software</x:v>
      </x:c>
      <x:c r="C55" s="9" t="n">
        <x:v>15000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3" customHeight="1">
      <x:c r="A56" s="1" t="str">
        <x:v>2025-07</x:v>
      </x:c>
      <x:c r="B56" s="1" t="str">
        <x:v>Travel</x:v>
      </x:c>
      <x:c r="C56" s="9" t="n">
        <x:v>20000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3" customHeight="1">
      <x:c r="A57" s="1" t="str">
        <x:v>2025-07</x:v>
      </x:c>
      <x:c r="B57" s="1" t="str">
        <x:v>Meals</x:v>
      </x:c>
      <x:c r="C57" s="9" t="n">
        <x:v>8000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3" customHeight="1">
      <x:c r="A58" s="1" t="str">
        <x:v>2025-07</x:v>
      </x:c>
      <x:c r="B58" s="1" t="str">
        <x:v>Office supplies</x:v>
      </x:c>
      <x:c r="C58" s="9" t="n">
        <x:v>6000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3" customHeight="1">
      <x:c r="A59" s="1" t="str">
        <x:v>2025-07</x:v>
      </x:c>
      <x:c r="B59" s="1" t="str">
        <x:v>Marketing</x:v>
      </x:c>
      <x:c r="C59" s="9" t="n">
        <x:v>25000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3" customHeight="1">
      <x:c r="A60" s="1" t="str">
        <x:v>2025-08</x:v>
      </x:c>
      <x:c r="B60" s="1" t="str">
        <x:v>Rent</x:v>
      </x:c>
      <x:c r="C60" s="9" t="n">
        <x:v>40000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t="str">
        <x:v>2025-08</x:v>
      </x:c>
      <x:c r="B61" t="str">
        <x:v>Salaries</x:v>
      </x:c>
      <x:c r="C61" s="10" t="n">
        <x:v>180000</x:v>
      </x:c>
    </x:row>
    <x:row r="62">
      <x:c r="A62" t="str">
        <x:v>2025-08</x:v>
      </x:c>
      <x:c r="B62" t="str">
        <x:v>Utilities</x:v>
      </x:c>
      <x:c r="C62" s="10" t="n">
        <x:v>12000</x:v>
      </x:c>
    </x:row>
    <x:row r="63">
      <x:c r="A63" t="str">
        <x:v>2025-08</x:v>
      </x:c>
      <x:c r="B63" t="str">
        <x:v>Software</x:v>
      </x:c>
      <x:c r="C63" s="10" t="n">
        <x:v>15000</x:v>
      </x:c>
    </x:row>
    <x:row r="64">
      <x:c r="A64" t="str">
        <x:v>2025-08</x:v>
      </x:c>
      <x:c r="B64" t="str">
        <x:v>Travel</x:v>
      </x:c>
      <x:c r="C64" s="10" t="n">
        <x:v>20000</x:v>
      </x:c>
    </x:row>
    <x:row r="65">
      <x:c r="A65" t="str">
        <x:v>2025-08</x:v>
      </x:c>
      <x:c r="B65" t="str">
        <x:v>Meals</x:v>
      </x:c>
      <x:c r="C65" s="10" t="n">
        <x:v>8000</x:v>
      </x:c>
    </x:row>
    <x:row r="66">
      <x:c r="A66" t="str">
        <x:v>2025-08</x:v>
      </x:c>
      <x:c r="B66" t="str">
        <x:v>Office supplies</x:v>
      </x:c>
      <x:c r="C66" s="10" t="n">
        <x:v>6000</x:v>
      </x:c>
    </x:row>
    <x:row r="67">
      <x:c r="A67" t="str">
        <x:v>2025-08</x:v>
      </x:c>
      <x:c r="B67" t="str">
        <x:v>Marketing</x:v>
      </x:c>
      <x:c r="C67" s="10" t="n">
        <x:v>25000</x:v>
      </x:c>
    </x:row>
    <x:row r="68">
      <x:c r="A68" t="str">
        <x:v>2025-09</x:v>
      </x:c>
      <x:c r="B68" t="str">
        <x:v>Rent</x:v>
      </x:c>
      <x:c r="C68" s="10" t="n">
        <x:v>40000</x:v>
      </x:c>
    </x:row>
    <x:row r="69">
      <x:c r="A69" t="str">
        <x:v>2025-09</x:v>
      </x:c>
      <x:c r="B69" t="str">
        <x:v>Salaries</x:v>
      </x:c>
      <x:c r="C69" s="10" t="n">
        <x:v>180000</x:v>
      </x:c>
    </x:row>
    <x:row r="70">
      <x:c r="A70" t="str">
        <x:v>2025-09</x:v>
      </x:c>
      <x:c r="B70" t="str">
        <x:v>Utilities</x:v>
      </x:c>
      <x:c r="C70" s="10" t="n">
        <x:v>12000</x:v>
      </x:c>
    </x:row>
    <x:row r="71">
      <x:c r="A71" t="str">
        <x:v>2025-09</x:v>
      </x:c>
      <x:c r="B71" t="str">
        <x:v>Software</x:v>
      </x:c>
      <x:c r="C71" s="10" t="n">
        <x:v>15000</x:v>
      </x:c>
    </x:row>
    <x:row r="72">
      <x:c r="A72" t="str">
        <x:v>2025-09</x:v>
      </x:c>
      <x:c r="B72" t="str">
        <x:v>Travel</x:v>
      </x:c>
      <x:c r="C72" s="10" t="n">
        <x:v>20000</x:v>
      </x:c>
    </x:row>
    <x:row r="73">
      <x:c r="A73" t="str">
        <x:v>2025-09</x:v>
      </x:c>
      <x:c r="B73" t="str">
        <x:v>Meals</x:v>
      </x:c>
      <x:c r="C73" s="10" t="n">
        <x:v>8000</x:v>
      </x:c>
    </x:row>
    <x:row r="74">
      <x:c r="A74" t="str">
        <x:v>2025-09</x:v>
      </x:c>
      <x:c r="B74" t="str">
        <x:v>Office supplies</x:v>
      </x:c>
      <x:c r="C74" s="10" t="n">
        <x:v>6000</x:v>
      </x:c>
    </x:row>
    <x:row r="75">
      <x:c r="A75" t="str">
        <x:v>2025-09</x:v>
      </x:c>
      <x:c r="B75" t="str">
        <x:v>Marketing</x:v>
      </x:c>
      <x:c r="C75" s="10" t="n">
        <x:v>25000</x:v>
      </x:c>
    </x:row>
    <x:row r="76">
      <x:c r="A76" t="str">
        <x:v>2025-10</x:v>
      </x:c>
      <x:c r="B76" t="str">
        <x:v>Rent</x:v>
      </x:c>
      <x:c r="C76" s="10" t="n">
        <x:v>40000</x:v>
      </x:c>
    </x:row>
    <x:row r="77">
      <x:c r="A77" t="str">
        <x:v>2025-10</x:v>
      </x:c>
      <x:c r="B77" t="str">
        <x:v>Salaries</x:v>
      </x:c>
      <x:c r="C77" s="10" t="n">
        <x:v>180000</x:v>
      </x:c>
    </x:row>
    <x:row r="78">
      <x:c r="A78" t="str">
        <x:v>2025-10</x:v>
      </x:c>
      <x:c r="B78" t="str">
        <x:v>Utilities</x:v>
      </x:c>
      <x:c r="C78" s="10" t="n">
        <x:v>12000</x:v>
      </x:c>
    </x:row>
    <x:row r="79">
      <x:c r="A79" t="str">
        <x:v>2025-10</x:v>
      </x:c>
      <x:c r="B79" t="str">
        <x:v>Software</x:v>
      </x:c>
      <x:c r="C79" s="10" t="n">
        <x:v>15000</x:v>
      </x:c>
    </x:row>
    <x:row r="80">
      <x:c r="A80" t="str">
        <x:v>2025-10</x:v>
      </x:c>
      <x:c r="B80" t="str">
        <x:v>Travel</x:v>
      </x:c>
      <x:c r="C80" s="10" t="n">
        <x:v>20000</x:v>
      </x:c>
    </x:row>
    <x:row r="81">
      <x:c r="A81" t="str">
        <x:v>2025-10</x:v>
      </x:c>
      <x:c r="B81" t="str">
        <x:v>Meals</x:v>
      </x:c>
      <x:c r="C81" s="10" t="n">
        <x:v>8000</x:v>
      </x:c>
    </x:row>
    <x:row r="82">
      <x:c r="A82" t="str">
        <x:v>2025-10</x:v>
      </x:c>
      <x:c r="B82" t="str">
        <x:v>Office supplies</x:v>
      </x:c>
      <x:c r="C82" s="10" t="n">
        <x:v>6000</x:v>
      </x:c>
    </x:row>
    <x:row r="83">
      <x:c r="A83" t="str">
        <x:v>2025-10</x:v>
      </x:c>
      <x:c r="B83" t="str">
        <x:v>Marketing</x:v>
      </x:c>
      <x:c r="C83" s="10" t="n">
        <x:v>25000</x:v>
      </x:c>
    </x:row>
    <x:row r="84">
      <x:c r="A84" t="str">
        <x:v>2025-11</x:v>
      </x:c>
      <x:c r="B84" t="str">
        <x:v>Rent</x:v>
      </x:c>
      <x:c r="C84" s="10" t="n">
        <x:v>40000</x:v>
      </x:c>
    </x:row>
    <x:row r="85">
      <x:c r="A85" t="str">
        <x:v>2025-11</x:v>
      </x:c>
      <x:c r="B85" t="str">
        <x:v>Salaries</x:v>
      </x:c>
      <x:c r="C85" s="10" t="n">
        <x:v>180000</x:v>
      </x:c>
    </x:row>
    <x:row r="86">
      <x:c r="A86" t="str">
        <x:v>2025-11</x:v>
      </x:c>
      <x:c r="B86" t="str">
        <x:v>Utilities</x:v>
      </x:c>
      <x:c r="C86" s="10" t="n">
        <x:v>12000</x:v>
      </x:c>
    </x:row>
    <x:row r="87">
      <x:c r="A87" t="str">
        <x:v>2025-11</x:v>
      </x:c>
      <x:c r="B87" t="str">
        <x:v>Software</x:v>
      </x:c>
      <x:c r="C87" s="10" t="n">
        <x:v>15000</x:v>
      </x:c>
    </x:row>
    <x:row r="88">
      <x:c r="A88" t="str">
        <x:v>2025-11</x:v>
      </x:c>
      <x:c r="B88" t="str">
        <x:v>Travel</x:v>
      </x:c>
      <x:c r="C88" s="10" t="n">
        <x:v>20000</x:v>
      </x:c>
    </x:row>
    <x:row r="89">
      <x:c r="A89" t="str">
        <x:v>2025-11</x:v>
      </x:c>
      <x:c r="B89" t="str">
        <x:v>Meals</x:v>
      </x:c>
      <x:c r="C89" s="10" t="n">
        <x:v>8000</x:v>
      </x:c>
    </x:row>
    <x:row r="90">
      <x:c r="A90" t="str">
        <x:v>2025-11</x:v>
      </x:c>
      <x:c r="B90" t="str">
        <x:v>Office supplies</x:v>
      </x:c>
      <x:c r="C90" s="10" t="n">
        <x:v>6000</x:v>
      </x:c>
    </x:row>
    <x:row r="91">
      <x:c r="A91" t="str">
        <x:v>2025-11</x:v>
      </x:c>
      <x:c r="B91" t="str">
        <x:v>Marketing</x:v>
      </x:c>
      <x:c r="C91" s="10" t="n">
        <x:v>25000</x:v>
      </x:c>
    </x:row>
    <x:row r="92">
      <x:c r="A92" t="str">
        <x:v>2025-12</x:v>
      </x:c>
      <x:c r="B92" t="str">
        <x:v>Rent</x:v>
      </x:c>
      <x:c r="C92" s="10" t="n">
        <x:v>40000</x:v>
      </x:c>
    </x:row>
    <x:row r="93">
      <x:c r="A93" t="str">
        <x:v>2025-12</x:v>
      </x:c>
      <x:c r="B93" t="str">
        <x:v>Salaries</x:v>
      </x:c>
      <x:c r="C93" s="10" t="n">
        <x:v>180000</x:v>
      </x:c>
    </x:row>
    <x:row r="94">
      <x:c r="A94" t="str">
        <x:v>2025-12</x:v>
      </x:c>
      <x:c r="B94" t="str">
        <x:v>Utilities</x:v>
      </x:c>
      <x:c r="C94" s="10" t="n">
        <x:v>12000</x:v>
      </x:c>
    </x:row>
    <x:row r="95">
      <x:c r="A95" t="str">
        <x:v>2025-12</x:v>
      </x:c>
      <x:c r="B95" t="str">
        <x:v>Software</x:v>
      </x:c>
      <x:c r="C95" s="10" t="n">
        <x:v>15000</x:v>
      </x:c>
    </x:row>
    <x:row r="96">
      <x:c r="A96" t="str">
        <x:v>2025-12</x:v>
      </x:c>
      <x:c r="B96" t="str">
        <x:v>Travel</x:v>
      </x:c>
      <x:c r="C96" s="10" t="n">
        <x:v>20000</x:v>
      </x:c>
    </x:row>
    <x:row r="97">
      <x:c r="A97" t="str">
        <x:v>2025-12</x:v>
      </x:c>
      <x:c r="B97" t="str">
        <x:v>Meals</x:v>
      </x:c>
      <x:c r="C97" s="10" t="n">
        <x:v>8000</x:v>
      </x:c>
    </x:row>
    <x:row r="98">
      <x:c r="A98" t="str">
        <x:v>2025-12</x:v>
      </x:c>
      <x:c r="B98" t="str">
        <x:v>Office supplies</x:v>
      </x:c>
      <x:c r="C98" s="10" t="n">
        <x:v>6000</x:v>
      </x:c>
    </x:row>
    <x:row r="99">
      <x:c r="A99" t="str">
        <x:v>2025-12</x:v>
      </x:c>
      <x:c r="B99" t="str">
        <x:v>Marketing</x:v>
      </x:c>
      <x:c r="C99" s="10" t="n">
        <x:v>25000</x:v>
      </x:c>
    </x:row>
  </x:sheetData>
  <x:pageMargins left="0.7" right="0.7" top="0.75" bottom="0.75" header="0.3" footer="0.3"/>
  <x:tableParts count="1">
    <x:tablePart xmlns:r="http://schemas.openxmlformats.org/officeDocument/2006/relationships" r:id="Rf71fab30297c406f"/>
  </x:tableParts>
</x:worksheet>
</file>